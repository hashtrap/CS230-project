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6b65c72f12649d8/Desktop/CS230-project/"/>
    </mc:Choice>
  </mc:AlternateContent>
  <xr:revisionPtr revIDLastSave="0" documentId="14_{FCA9169E-4ACA-4600-8271-DF5553DCEDE2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__hidden" sheetId="38" state="veryHidden" r:id="rId1"/>
    <sheet name="Employees" sheetId="55" r:id="rId2"/>
    <sheet name="Assignments" sheetId="50" r:id="rId3"/>
    <sheet name="Customers" sheetId="54" r:id="rId4"/>
    <sheet name="Products" sheetId="51" r:id="rId5"/>
    <sheet name="Orders" sheetId="52" r:id="rId6"/>
    <sheet name="Items" sheetId="53" r:id="rId7"/>
  </sheets>
  <functionGroups builtInGroupCount="19"/>
  <definedNames>
    <definedName name="_xlnm._FilterDatabase" localSheetId="0" hidden="1">__hidden!$C$1:$C$1207</definedName>
    <definedName name="_xlnm.Extract" localSheetId="0">__hidden!#REF!</definedName>
    <definedName name="ffn">__hidden!$C$1:$C$1110</definedName>
    <definedName name="ln">__hidden!$F$1:$F$2421</definedName>
    <definedName name="mfn">__hidden!$A$1:$A$959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50" l="1"/>
  <c r="B4" i="50"/>
  <c r="B5" i="50"/>
  <c r="B6" i="50"/>
  <c r="B7" i="50"/>
  <c r="B8" i="50"/>
  <c r="B9" i="50"/>
  <c r="B10" i="50"/>
  <c r="B11" i="50"/>
  <c r="B12" i="50"/>
  <c r="B13" i="50"/>
  <c r="B14" i="50"/>
  <c r="B15" i="50"/>
  <c r="B16" i="50"/>
  <c r="B17" i="50"/>
  <c r="B18" i="50"/>
  <c r="B19" i="50"/>
  <c r="B20" i="50"/>
  <c r="B21" i="50"/>
  <c r="B22" i="50"/>
  <c r="B23" i="50"/>
  <c r="B24" i="50"/>
  <c r="B25" i="50"/>
  <c r="B26" i="50"/>
  <c r="B27" i="50"/>
  <c r="B28" i="50"/>
  <c r="B29" i="50"/>
  <c r="B30" i="50"/>
  <c r="B31" i="50"/>
  <c r="B32" i="50"/>
  <c r="B33" i="50"/>
  <c r="B34" i="50"/>
  <c r="B35" i="50"/>
  <c r="B36" i="50"/>
  <c r="B37" i="50"/>
  <c r="B38" i="50"/>
  <c r="B39" i="50"/>
  <c r="B40" i="50"/>
  <c r="B41" i="50"/>
  <c r="C11" i="53"/>
  <c r="C15" i="52"/>
  <c r="C50" i="53"/>
  <c r="C91" i="53"/>
  <c r="C90" i="53"/>
  <c r="C57" i="53"/>
  <c r="C18" i="52"/>
  <c r="B44" i="54"/>
  <c r="C2" i="52"/>
  <c r="C10" i="52"/>
  <c r="C131" i="53"/>
  <c r="C132" i="53"/>
  <c r="C77" i="53"/>
  <c r="J3" i="50"/>
  <c r="C93" i="53"/>
  <c r="J19" i="50"/>
  <c r="C61" i="53"/>
  <c r="C110" i="53"/>
  <c r="B26" i="54"/>
  <c r="C114" i="53"/>
  <c r="C49" i="52"/>
  <c r="C5" i="52"/>
  <c r="B9" i="55"/>
  <c r="C133" i="53"/>
  <c r="B5" i="55"/>
  <c r="C22" i="52"/>
  <c r="C16" i="52"/>
  <c r="J34" i="50"/>
  <c r="B14" i="54"/>
  <c r="C129" i="53"/>
  <c r="B17" i="55"/>
  <c r="C29" i="52"/>
  <c r="C47" i="53"/>
  <c r="C150" i="53"/>
  <c r="B42" i="54"/>
  <c r="C12" i="52"/>
  <c r="C116" i="53"/>
  <c r="B11" i="55"/>
  <c r="C21" i="53"/>
  <c r="J16" i="50"/>
  <c r="C122" i="53"/>
  <c r="J39" i="50"/>
  <c r="C47" i="52"/>
  <c r="C126" i="53"/>
  <c r="B51" i="54"/>
  <c r="C58" i="53"/>
  <c r="B14" i="55"/>
  <c r="C3" i="52"/>
  <c r="C104" i="53"/>
  <c r="B25" i="55"/>
  <c r="C65" i="53"/>
  <c r="B45" i="54"/>
  <c r="B20" i="54"/>
  <c r="C46" i="52"/>
  <c r="B9" i="54"/>
  <c r="J18" i="50"/>
  <c r="B25" i="54"/>
  <c r="J25" i="50"/>
  <c r="B4" i="55"/>
  <c r="B32" i="55"/>
  <c r="B33" i="55"/>
  <c r="C4" i="52"/>
  <c r="C37" i="52"/>
  <c r="C134" i="53"/>
  <c r="B22" i="54"/>
  <c r="J29" i="50"/>
  <c r="C87" i="53"/>
  <c r="C35" i="53"/>
  <c r="C45" i="52"/>
  <c r="C141" i="53"/>
  <c r="J37" i="50"/>
  <c r="B10" i="55"/>
  <c r="B29" i="54"/>
  <c r="C5" i="53"/>
  <c r="B39" i="54"/>
  <c r="C35" i="52"/>
  <c r="J12" i="50"/>
  <c r="B20" i="55"/>
  <c r="C48" i="53"/>
  <c r="J26" i="50"/>
  <c r="C25" i="53"/>
  <c r="B46" i="54"/>
  <c r="C20" i="53"/>
  <c r="B16" i="55"/>
  <c r="C138" i="53"/>
  <c r="B28" i="55"/>
  <c r="C72" i="53"/>
  <c r="C52" i="53"/>
  <c r="B2" i="54"/>
  <c r="C17" i="53"/>
  <c r="C28" i="52"/>
  <c r="B37" i="54"/>
  <c r="C10" i="53"/>
  <c r="B38" i="54"/>
  <c r="J15" i="50"/>
  <c r="C80" i="53"/>
  <c r="C74" i="53"/>
  <c r="B31" i="55"/>
  <c r="C117" i="53"/>
  <c r="B12" i="54"/>
  <c r="B34" i="54"/>
  <c r="C113" i="53"/>
  <c r="C41" i="52"/>
  <c r="C145" i="53"/>
  <c r="C40" i="53"/>
  <c r="C149" i="53"/>
  <c r="C33" i="53"/>
  <c r="C55" i="53"/>
  <c r="B15" i="54"/>
  <c r="J2" i="50"/>
  <c r="B7" i="55"/>
  <c r="C97" i="53"/>
  <c r="C95" i="53"/>
  <c r="C26" i="53"/>
  <c r="C27" i="52"/>
  <c r="C13" i="52"/>
  <c r="B11" i="54"/>
  <c r="B48" i="54"/>
  <c r="J20" i="50"/>
  <c r="C98" i="53"/>
  <c r="C53" i="53"/>
  <c r="C109" i="53"/>
  <c r="C31" i="52"/>
  <c r="B18" i="55"/>
  <c r="B36" i="55"/>
  <c r="B23" i="54"/>
  <c r="C19" i="52"/>
  <c r="C34" i="52"/>
  <c r="J6" i="50"/>
  <c r="C148" i="53"/>
  <c r="C139" i="53"/>
  <c r="C63" i="53"/>
  <c r="C82" i="53"/>
  <c r="C140" i="53"/>
  <c r="B39" i="55"/>
  <c r="B33" i="54"/>
  <c r="J8" i="50"/>
  <c r="C51" i="52"/>
  <c r="B17" i="54"/>
  <c r="C23" i="53"/>
  <c r="B19" i="55"/>
  <c r="J28" i="50"/>
  <c r="C62" i="53"/>
  <c r="C123" i="53"/>
  <c r="C6" i="53"/>
  <c r="J41" i="50"/>
  <c r="C11" i="52"/>
  <c r="C51" i="53"/>
  <c r="J5" i="50"/>
  <c r="C120" i="53"/>
  <c r="B36" i="54"/>
  <c r="C14" i="52"/>
  <c r="B3" i="55"/>
  <c r="B24" i="55"/>
  <c r="C102" i="53"/>
  <c r="C121" i="53"/>
  <c r="B41" i="54"/>
  <c r="C50" i="52"/>
  <c r="C99" i="53"/>
  <c r="B50" i="54"/>
  <c r="C86" i="53"/>
  <c r="B16" i="54"/>
  <c r="C94" i="53"/>
  <c r="C73" i="53"/>
  <c r="B29" i="55"/>
  <c r="B19" i="54"/>
  <c r="J30" i="50"/>
  <c r="J27" i="50"/>
  <c r="C32" i="52"/>
  <c r="C112" i="53"/>
  <c r="C36" i="52"/>
  <c r="B8" i="55"/>
  <c r="C84" i="53"/>
  <c r="B6" i="55"/>
  <c r="B13" i="55"/>
  <c r="B10" i="54"/>
  <c r="C136" i="53"/>
  <c r="C128" i="53"/>
  <c r="C24" i="52"/>
  <c r="C16" i="53"/>
  <c r="C137" i="53"/>
  <c r="B30" i="54"/>
  <c r="C54" i="53"/>
  <c r="C7" i="52"/>
  <c r="B38" i="55"/>
  <c r="B4" i="54"/>
  <c r="C3" i="53"/>
  <c r="C60" i="53"/>
  <c r="B35" i="55"/>
  <c r="C151" i="53"/>
  <c r="B30" i="55"/>
  <c r="C96" i="53"/>
  <c r="B2" i="55"/>
  <c r="B24" i="54"/>
  <c r="J13" i="50"/>
  <c r="C14" i="53"/>
  <c r="J33" i="50"/>
  <c r="B28" i="54"/>
  <c r="B40" i="54"/>
  <c r="B18" i="54"/>
  <c r="C18" i="53"/>
  <c r="J38" i="50"/>
  <c r="J35" i="50"/>
  <c r="C101" i="53"/>
  <c r="C46" i="53"/>
  <c r="C42" i="53"/>
  <c r="C66" i="53"/>
  <c r="C127" i="53"/>
  <c r="C41" i="53"/>
  <c r="B31" i="54"/>
  <c r="B13" i="54"/>
  <c r="C75" i="53"/>
  <c r="C69" i="53"/>
  <c r="C37" i="53"/>
  <c r="C44" i="52"/>
  <c r="C8" i="53"/>
  <c r="J7" i="50"/>
  <c r="J21" i="50"/>
  <c r="J17" i="50"/>
  <c r="C111" i="53"/>
  <c r="B23" i="55"/>
  <c r="B21" i="55"/>
  <c r="J14" i="50"/>
  <c r="J9" i="50"/>
  <c r="C29" i="53"/>
  <c r="J36" i="50"/>
  <c r="C42" i="52"/>
  <c r="C32" i="53"/>
  <c r="J32" i="50"/>
  <c r="J31" i="50"/>
  <c r="C83" i="53"/>
  <c r="C7" i="53"/>
  <c r="B34" i="55"/>
  <c r="B3" i="54"/>
  <c r="C124" i="53"/>
  <c r="C9" i="52"/>
  <c r="C71" i="53"/>
  <c r="C31" i="53"/>
  <c r="B27" i="55"/>
  <c r="B12" i="55"/>
  <c r="C30" i="53"/>
  <c r="C76" i="53"/>
  <c r="C39" i="52"/>
  <c r="B8" i="54"/>
  <c r="J23" i="50"/>
  <c r="C88" i="53"/>
  <c r="C17" i="52"/>
  <c r="C36" i="53"/>
  <c r="B43" i="54"/>
  <c r="B47" i="54"/>
  <c r="C38" i="52"/>
  <c r="B49" i="54"/>
  <c r="B41" i="55"/>
  <c r="C100" i="53"/>
  <c r="B7" i="54"/>
  <c r="C4" i="53"/>
  <c r="C59" i="53"/>
  <c r="C26" i="52"/>
  <c r="C103" i="53"/>
  <c r="C78" i="53"/>
  <c r="C2" i="53"/>
  <c r="C107" i="53"/>
  <c r="C106" i="53"/>
  <c r="C49" i="53"/>
  <c r="C115" i="53"/>
  <c r="C130" i="53"/>
  <c r="B32" i="54"/>
  <c r="C64" i="53"/>
  <c r="C108" i="53"/>
  <c r="C23" i="52"/>
  <c r="J22" i="50"/>
  <c r="B22" i="55"/>
  <c r="C15" i="53"/>
  <c r="C119" i="53"/>
  <c r="J11" i="50"/>
  <c r="C79" i="53"/>
  <c r="C105" i="53"/>
  <c r="C8" i="52"/>
  <c r="C19" i="53"/>
  <c r="C30" i="52"/>
  <c r="C22" i="53"/>
  <c r="B26" i="55"/>
  <c r="J4" i="50"/>
  <c r="B27" i="54"/>
  <c r="C45" i="53"/>
  <c r="C40" i="52"/>
  <c r="J24" i="50"/>
  <c r="C25" i="52"/>
  <c r="B15" i="55"/>
  <c r="C125" i="53"/>
  <c r="C43" i="52"/>
  <c r="J40" i="50"/>
  <c r="C135" i="53"/>
  <c r="C20" i="52"/>
  <c r="C56" i="53"/>
  <c r="C12" i="53"/>
  <c r="B5" i="54"/>
  <c r="C39" i="53"/>
  <c r="C33" i="52"/>
  <c r="B37" i="55"/>
  <c r="C43" i="53"/>
  <c r="C21" i="52"/>
  <c r="C144" i="53"/>
  <c r="J10" i="50"/>
  <c r="B21" i="54"/>
  <c r="B35" i="54"/>
  <c r="C6" i="52"/>
  <c r="C44" i="53"/>
  <c r="B6" i="54"/>
  <c r="B40" i="55"/>
  <c r="C48" i="52"/>
  <c r="B3" i="52" l="1"/>
  <c r="B4" i="52"/>
  <c r="B5" i="52"/>
  <c r="B6" i="52"/>
  <c r="B7" i="52"/>
  <c r="B8" i="52"/>
  <c r="B9" i="52"/>
  <c r="B10" i="52"/>
  <c r="B11" i="52"/>
  <c r="B12" i="52"/>
  <c r="B13" i="52"/>
  <c r="B14" i="52"/>
  <c r="B15" i="52"/>
  <c r="B16" i="52"/>
  <c r="B17" i="52"/>
  <c r="B18" i="52"/>
  <c r="B19" i="52"/>
  <c r="B20" i="52"/>
  <c r="B21" i="52"/>
  <c r="B22" i="52"/>
  <c r="B23" i="52"/>
  <c r="B24" i="52"/>
  <c r="B25" i="52"/>
  <c r="B26" i="52"/>
  <c r="B27" i="52"/>
  <c r="B28" i="52"/>
  <c r="B29" i="52"/>
  <c r="B30" i="52"/>
  <c r="B31" i="52"/>
  <c r="B32" i="52"/>
  <c r="B33" i="52"/>
  <c r="B34" i="52"/>
  <c r="B35" i="52"/>
  <c r="B36" i="52"/>
  <c r="B37" i="52"/>
  <c r="B38" i="52"/>
  <c r="B39" i="52"/>
  <c r="B40" i="52"/>
  <c r="B41" i="52"/>
  <c r="B42" i="52"/>
  <c r="B43" i="52"/>
  <c r="B44" i="52"/>
  <c r="B45" i="52"/>
  <c r="B46" i="52"/>
  <c r="B47" i="52"/>
  <c r="B48" i="52"/>
  <c r="B49" i="52"/>
  <c r="B50" i="52"/>
  <c r="B51" i="52"/>
  <c r="B2" i="52"/>
  <c r="B12" i="51"/>
  <c r="B13" i="51"/>
  <c r="B11" i="51"/>
  <c r="B9" i="51"/>
  <c r="B10" i="51"/>
  <c r="B8" i="51"/>
  <c r="B6" i="51"/>
  <c r="B7" i="51"/>
  <c r="B5" i="51"/>
  <c r="B3" i="51"/>
  <c r="B4" i="51"/>
  <c r="B2" i="51"/>
  <c r="C9" i="51"/>
  <c r="C10" i="51"/>
  <c r="C11" i="51"/>
  <c r="C12" i="51"/>
  <c r="C13" i="51"/>
  <c r="C8" i="51"/>
  <c r="C3" i="51"/>
  <c r="C4" i="51"/>
  <c r="C5" i="51"/>
  <c r="C6" i="51"/>
  <c r="C7" i="51"/>
  <c r="C2" i="51"/>
  <c r="D148" i="53"/>
  <c r="G45" i="52"/>
  <c r="D115" i="53"/>
  <c r="D69" i="53"/>
  <c r="D45" i="53"/>
  <c r="F31" i="52"/>
  <c r="E16" i="52"/>
  <c r="E11" i="51"/>
  <c r="D107" i="53"/>
  <c r="J19" i="54"/>
  <c r="F38" i="52"/>
  <c r="D78" i="53"/>
  <c r="E14" i="52"/>
  <c r="F15" i="52"/>
  <c r="D33" i="53"/>
  <c r="F49" i="52"/>
  <c r="G42" i="52"/>
  <c r="D17" i="52"/>
  <c r="D47" i="53"/>
  <c r="F44" i="52"/>
  <c r="J26" i="54"/>
  <c r="D65" i="53"/>
  <c r="D42" i="53"/>
  <c r="D98" i="53"/>
  <c r="D38" i="52"/>
  <c r="C67" i="53"/>
  <c r="F41" i="52"/>
  <c r="J13" i="54"/>
  <c r="D34" i="52"/>
  <c r="F14" i="52"/>
  <c r="J35" i="54"/>
  <c r="G49" i="52"/>
  <c r="J42" i="54"/>
  <c r="E37" i="52"/>
  <c r="D74" i="53"/>
  <c r="F29" i="52"/>
  <c r="D117" i="53"/>
  <c r="D7" i="52"/>
  <c r="E11" i="52"/>
  <c r="D53" i="53"/>
  <c r="D48" i="52"/>
  <c r="E49" i="52"/>
  <c r="E22" i="52"/>
  <c r="G7" i="52"/>
  <c r="F34" i="52"/>
  <c r="D149" i="53"/>
  <c r="G23" i="52"/>
  <c r="G32" i="52"/>
  <c r="D137" i="53"/>
  <c r="D48" i="53"/>
  <c r="D84" i="53"/>
  <c r="D14" i="53"/>
  <c r="D91" i="53"/>
  <c r="D64" i="53"/>
  <c r="D41" i="52"/>
  <c r="D2" i="53"/>
  <c r="D99" i="53"/>
  <c r="D13" i="52"/>
  <c r="D2" i="51"/>
  <c r="D23" i="53"/>
  <c r="E2" i="52"/>
  <c r="F24" i="52"/>
  <c r="C89" i="53"/>
  <c r="J23" i="54"/>
  <c r="D20" i="53"/>
  <c r="G46" i="52"/>
  <c r="D32" i="53"/>
  <c r="J4" i="54"/>
  <c r="E18" i="52"/>
  <c r="D18" i="53"/>
  <c r="D22" i="52"/>
  <c r="D22" i="53"/>
  <c r="G4" i="52"/>
  <c r="D9" i="52"/>
  <c r="E10" i="51"/>
  <c r="F2" i="52"/>
  <c r="C27" i="53"/>
  <c r="D86" i="53"/>
  <c r="D2" i="52"/>
  <c r="G30" i="52"/>
  <c r="E47" i="52"/>
  <c r="G21" i="52"/>
  <c r="F22" i="52"/>
  <c r="D102" i="53"/>
  <c r="D87" i="53"/>
  <c r="C9" i="53"/>
  <c r="D80" i="53"/>
  <c r="F36" i="52"/>
  <c r="D129" i="53"/>
  <c r="F30" i="52"/>
  <c r="D31" i="52"/>
  <c r="F45" i="52"/>
  <c r="G14" i="52"/>
  <c r="G10" i="52"/>
  <c r="D5" i="53"/>
  <c r="J14" i="54"/>
  <c r="E41" i="52"/>
  <c r="D141" i="53"/>
  <c r="D97" i="53"/>
  <c r="F46" i="52"/>
  <c r="D11" i="51"/>
  <c r="J9" i="54"/>
  <c r="E8" i="52"/>
  <c r="G24" i="52"/>
  <c r="F10" i="52"/>
  <c r="E28" i="52"/>
  <c r="D11" i="52"/>
  <c r="D4" i="51"/>
  <c r="G43" i="52"/>
  <c r="D50" i="53"/>
  <c r="D75" i="53"/>
  <c r="F51" i="52"/>
  <c r="J38" i="54"/>
  <c r="F47" i="52"/>
  <c r="D132" i="53"/>
  <c r="D12" i="52"/>
  <c r="D10" i="53"/>
  <c r="D26" i="53"/>
  <c r="F11" i="52"/>
  <c r="E13" i="51"/>
  <c r="G48" i="52"/>
  <c r="E38" i="52"/>
  <c r="F32" i="52"/>
  <c r="E25" i="52"/>
  <c r="E2" i="51"/>
  <c r="D121" i="53"/>
  <c r="D104" i="53"/>
  <c r="D24" i="52"/>
  <c r="E42" i="52"/>
  <c r="D8" i="51"/>
  <c r="D100" i="53"/>
  <c r="D12" i="51"/>
  <c r="G27" i="52"/>
  <c r="D44" i="52"/>
  <c r="D49" i="53"/>
  <c r="E46" i="52"/>
  <c r="D16" i="52"/>
  <c r="F20" i="52"/>
  <c r="D6" i="52"/>
  <c r="F9" i="52"/>
  <c r="G39" i="52"/>
  <c r="D41" i="53"/>
  <c r="J29" i="54"/>
  <c r="E4" i="52"/>
  <c r="D135" i="53"/>
  <c r="G37" i="52"/>
  <c r="D116" i="53"/>
  <c r="D63" i="53"/>
  <c r="G8" i="52"/>
  <c r="D55" i="53"/>
  <c r="G34" i="52"/>
  <c r="G11" i="52"/>
  <c r="D122" i="53"/>
  <c r="E21" i="52"/>
  <c r="G5" i="52"/>
  <c r="D144" i="53"/>
  <c r="D39" i="53"/>
  <c r="J3" i="54"/>
  <c r="B55" i="53"/>
  <c r="G20" i="52"/>
  <c r="E29" i="52"/>
  <c r="E12" i="52"/>
  <c r="D9" i="51"/>
  <c r="J11" i="54"/>
  <c r="D14" i="52"/>
  <c r="D35" i="52"/>
  <c r="D73" i="53"/>
  <c r="F35" i="52"/>
  <c r="D42" i="52"/>
  <c r="D3" i="52"/>
  <c r="E31" i="52"/>
  <c r="G36" i="52"/>
  <c r="D25" i="52"/>
  <c r="D47" i="52"/>
  <c r="E3" i="51"/>
  <c r="D6" i="53"/>
  <c r="E48" i="52"/>
  <c r="F16" i="52"/>
  <c r="C142" i="53"/>
  <c r="J25" i="54"/>
  <c r="D43" i="52"/>
  <c r="D29" i="52"/>
  <c r="D3" i="51"/>
  <c r="D32" i="52"/>
  <c r="G19" i="52"/>
  <c r="J8" i="54"/>
  <c r="D46" i="53"/>
  <c r="J5" i="54"/>
  <c r="D95" i="53"/>
  <c r="D40" i="53"/>
  <c r="D37" i="53"/>
  <c r="J41" i="54"/>
  <c r="D37" i="52"/>
  <c r="E9" i="51"/>
  <c r="D93" i="53"/>
  <c r="F50" i="52"/>
  <c r="D94" i="53"/>
  <c r="E6" i="52"/>
  <c r="G12" i="52"/>
  <c r="E7" i="52"/>
  <c r="J31" i="54"/>
  <c r="D108" i="53"/>
  <c r="F21" i="52"/>
  <c r="D29" i="53"/>
  <c r="G50" i="52"/>
  <c r="J10" i="54"/>
  <c r="D58" i="53"/>
  <c r="E7" i="51"/>
  <c r="D7" i="53"/>
  <c r="D101" i="53"/>
  <c r="D60" i="53"/>
  <c r="D109" i="53"/>
  <c r="E34" i="52"/>
  <c r="D12" i="53"/>
  <c r="C24" i="53"/>
  <c r="D105" i="53"/>
  <c r="F19" i="52"/>
  <c r="J30" i="54"/>
  <c r="D16" i="53"/>
  <c r="F25" i="52"/>
  <c r="D88" i="53"/>
  <c r="E36" i="52"/>
  <c r="C92" i="53"/>
  <c r="D5" i="52"/>
  <c r="J6" i="54"/>
  <c r="C34" i="53"/>
  <c r="J32" i="54"/>
  <c r="D133" i="53"/>
  <c r="G6" i="52"/>
  <c r="E8" i="51"/>
  <c r="D17" i="53"/>
  <c r="G29" i="52"/>
  <c r="F13" i="52"/>
  <c r="D90" i="53"/>
  <c r="D7" i="51"/>
  <c r="D4" i="53"/>
  <c r="C70" i="53"/>
  <c r="J24" i="54"/>
  <c r="D119" i="53"/>
  <c r="F28" i="52"/>
  <c r="J28" i="54"/>
  <c r="D103" i="53"/>
  <c r="J33" i="54"/>
  <c r="F5" i="52"/>
  <c r="D19" i="52"/>
  <c r="F39" i="52"/>
  <c r="D4" i="52"/>
  <c r="D124" i="53"/>
  <c r="G25" i="52"/>
  <c r="J40" i="54"/>
  <c r="D39" i="52"/>
  <c r="D5" i="51"/>
  <c r="D77" i="53"/>
  <c r="J27" i="54"/>
  <c r="G16" i="52"/>
  <c r="D31" i="53"/>
  <c r="D30" i="53"/>
  <c r="D13" i="51"/>
  <c r="G47" i="52"/>
  <c r="J48" i="54"/>
  <c r="F42" i="52"/>
  <c r="D19" i="53"/>
  <c r="D139" i="53"/>
  <c r="D112" i="53"/>
  <c r="E5" i="51"/>
  <c r="J15" i="54"/>
  <c r="E45" i="52"/>
  <c r="E24" i="52"/>
  <c r="C85" i="53"/>
  <c r="F23" i="52"/>
  <c r="D62" i="53"/>
  <c r="C143" i="53"/>
  <c r="E17" i="52"/>
  <c r="F12" i="52"/>
  <c r="D51" i="52"/>
  <c r="E44" i="52"/>
  <c r="G33" i="52"/>
  <c r="D52" i="53"/>
  <c r="D111" i="53"/>
  <c r="D57" i="53"/>
  <c r="J36" i="54"/>
  <c r="E39" i="52"/>
  <c r="G22" i="52"/>
  <c r="E35" i="52"/>
  <c r="D54" i="53"/>
  <c r="J34" i="54"/>
  <c r="D127" i="53"/>
  <c r="E19" i="52"/>
  <c r="C2" i="54"/>
  <c r="G3" i="52"/>
  <c r="D76" i="53"/>
  <c r="J50" i="54"/>
  <c r="J21" i="54"/>
  <c r="C146" i="53"/>
  <c r="D134" i="53"/>
  <c r="D136" i="53"/>
  <c r="D36" i="52"/>
  <c r="D96" i="53"/>
  <c r="C118" i="53"/>
  <c r="E51" i="52"/>
  <c r="D10" i="52"/>
  <c r="D30" i="52"/>
  <c r="E27" i="52"/>
  <c r="F33" i="52"/>
  <c r="E40" i="52"/>
  <c r="F7" i="52"/>
  <c r="D82" i="53"/>
  <c r="D138" i="53"/>
  <c r="D21" i="53"/>
  <c r="F26" i="52"/>
  <c r="J18" i="54"/>
  <c r="D43" i="53"/>
  <c r="D72" i="53"/>
  <c r="E6" i="51"/>
  <c r="J16" i="54"/>
  <c r="G26" i="52"/>
  <c r="D49" i="52"/>
  <c r="D10" i="51"/>
  <c r="D23" i="52"/>
  <c r="D33" i="52"/>
  <c r="D126" i="53"/>
  <c r="J17" i="54"/>
  <c r="J49" i="54"/>
  <c r="G40" i="52"/>
  <c r="D50" i="52"/>
  <c r="D6" i="51"/>
  <c r="E3" i="52"/>
  <c r="G28" i="52"/>
  <c r="C28" i="53"/>
  <c r="F4" i="52"/>
  <c r="E30" i="52"/>
  <c r="D46" i="52"/>
  <c r="E50" i="52"/>
  <c r="F40" i="52"/>
  <c r="D59" i="53"/>
  <c r="D131" i="53"/>
  <c r="D36" i="53"/>
  <c r="F48" i="52"/>
  <c r="D125" i="53"/>
  <c r="E13" i="52"/>
  <c r="D26" i="52"/>
  <c r="D8" i="52"/>
  <c r="F3" i="52"/>
  <c r="J2" i="54"/>
  <c r="G38" i="52"/>
  <c r="G35" i="52"/>
  <c r="C81" i="53"/>
  <c r="C147" i="53"/>
  <c r="D51" i="53"/>
  <c r="D113" i="53"/>
  <c r="D8" i="53"/>
  <c r="D128" i="53"/>
  <c r="F6" i="52"/>
  <c r="D27" i="52"/>
  <c r="D15" i="52"/>
  <c r="G41" i="52"/>
  <c r="E4" i="51"/>
  <c r="G31" i="52"/>
  <c r="D106" i="53"/>
  <c r="D28" i="52"/>
  <c r="G15" i="52"/>
  <c r="D71" i="53"/>
  <c r="D20" i="52"/>
  <c r="D44" i="53"/>
  <c r="E15" i="52"/>
  <c r="J44" i="54"/>
  <c r="J7" i="54"/>
  <c r="D140" i="53"/>
  <c r="D35" i="53"/>
  <c r="J46" i="54"/>
  <c r="D40" i="52"/>
  <c r="D25" i="53"/>
  <c r="E5" i="52"/>
  <c r="D21" i="52"/>
  <c r="J37" i="54"/>
  <c r="D15" i="53"/>
  <c r="G13" i="52"/>
  <c r="F27" i="52"/>
  <c r="D61" i="53"/>
  <c r="D151" i="53"/>
  <c r="F17" i="52"/>
  <c r="J45" i="54"/>
  <c r="E43" i="52"/>
  <c r="J20" i="54"/>
  <c r="G2" i="52"/>
  <c r="D11" i="53"/>
  <c r="D3" i="53"/>
  <c r="J12" i="54"/>
  <c r="D18" i="52"/>
  <c r="J39" i="54"/>
  <c r="D114" i="53"/>
  <c r="D150" i="53"/>
  <c r="D130" i="53"/>
  <c r="D66" i="53"/>
  <c r="E10" i="52"/>
  <c r="J22" i="54"/>
  <c r="C68" i="53"/>
  <c r="E33" i="52"/>
  <c r="F8" i="52"/>
  <c r="D145" i="53"/>
  <c r="F18" i="52"/>
  <c r="E12" i="51"/>
  <c r="J47" i="54"/>
  <c r="J43" i="54"/>
  <c r="C13" i="53"/>
  <c r="D56" i="53"/>
  <c r="C38" i="53"/>
  <c r="F43" i="52"/>
  <c r="D45" i="52"/>
  <c r="G18" i="52"/>
  <c r="E32" i="52"/>
  <c r="E23" i="52"/>
  <c r="D123" i="53"/>
  <c r="G9" i="52"/>
  <c r="E20" i="52"/>
  <c r="D120" i="53"/>
  <c r="G51" i="52"/>
  <c r="E9" i="52"/>
  <c r="E26" i="52"/>
  <c r="G17" i="52"/>
  <c r="G44" i="52"/>
  <c r="D110" i="53"/>
  <c r="D83" i="53"/>
  <c r="F37" i="52"/>
  <c r="E87" i="53" l="1"/>
  <c r="E69" i="53"/>
  <c r="E110" i="53"/>
  <c r="E119" i="53"/>
  <c r="E17" i="53"/>
  <c r="E100" i="53"/>
  <c r="E19" i="53"/>
  <c r="E149" i="53"/>
  <c r="E144" i="53"/>
  <c r="E83" i="53"/>
  <c r="E136" i="53"/>
  <c r="E113" i="53"/>
  <c r="E104" i="53"/>
  <c r="E131" i="53"/>
  <c r="E126" i="53"/>
  <c r="E80" i="53"/>
  <c r="E105" i="53"/>
  <c r="E88" i="53"/>
  <c r="E7" i="53"/>
  <c r="E62" i="53"/>
  <c r="E145" i="53"/>
  <c r="E51" i="53"/>
  <c r="E120" i="53"/>
  <c r="E132" i="53"/>
  <c r="E53" i="53"/>
  <c r="E31" i="53"/>
  <c r="E124" i="53"/>
  <c r="E41" i="53"/>
  <c r="E125" i="53"/>
  <c r="E106" i="53"/>
  <c r="E58" i="53"/>
  <c r="E25" i="53"/>
  <c r="E36" i="53"/>
  <c r="E82" i="53"/>
  <c r="E73" i="53"/>
  <c r="E20" i="53"/>
  <c r="E11" i="53"/>
  <c r="E138" i="53"/>
  <c r="E84" i="53"/>
  <c r="E96" i="53"/>
  <c r="E50" i="53"/>
  <c r="E123" i="53"/>
  <c r="E32" i="53"/>
  <c r="E2" i="53"/>
  <c r="E56" i="53"/>
  <c r="E103" i="53"/>
  <c r="E12" i="53"/>
  <c r="E61" i="53"/>
  <c r="E71" i="53"/>
  <c r="E127" i="53"/>
  <c r="E60" i="53"/>
  <c r="E129" i="53"/>
  <c r="E90" i="53"/>
  <c r="E29" i="53"/>
  <c r="E14" i="53"/>
  <c r="E94" i="53"/>
  <c r="E141" i="53"/>
  <c r="E76" i="53"/>
  <c r="E133" i="53"/>
  <c r="E26" i="53"/>
  <c r="E101" i="53"/>
  <c r="E122" i="53"/>
  <c r="E98" i="53"/>
  <c r="E10" i="53"/>
  <c r="E102" i="53"/>
  <c r="E107" i="53"/>
  <c r="E128" i="53"/>
  <c r="E109" i="53"/>
  <c r="E135" i="53"/>
  <c r="E22" i="53"/>
  <c r="E99" i="53"/>
  <c r="E111" i="53"/>
  <c r="E52" i="53"/>
  <c r="E108" i="53"/>
  <c r="E18" i="53"/>
  <c r="E137" i="53"/>
  <c r="E42" i="53"/>
  <c r="E43" i="53"/>
  <c r="E6" i="53"/>
  <c r="E63" i="53"/>
  <c r="E114" i="53"/>
  <c r="E75" i="53"/>
  <c r="E121" i="53"/>
  <c r="E151" i="53"/>
  <c r="E48" i="53"/>
  <c r="E134" i="53"/>
  <c r="E93" i="53"/>
  <c r="E55" i="53"/>
  <c r="E86" i="53"/>
  <c r="E49" i="53"/>
  <c r="E117" i="53"/>
  <c r="E148" i="53"/>
  <c r="E16" i="53"/>
  <c r="E72" i="53"/>
  <c r="E59" i="53"/>
  <c r="E139" i="53"/>
  <c r="E116" i="53"/>
  <c r="E33" i="53"/>
  <c r="E21" i="53"/>
  <c r="E57" i="53"/>
  <c r="E40" i="53"/>
  <c r="E91" i="53"/>
  <c r="E95" i="53"/>
  <c r="E39" i="53"/>
  <c r="E65" i="53"/>
  <c r="E4" i="53"/>
  <c r="E66" i="53"/>
  <c r="E77" i="53"/>
  <c r="E30" i="53"/>
  <c r="E47" i="53"/>
  <c r="E35" i="53"/>
  <c r="E150" i="53"/>
  <c r="E37" i="53"/>
  <c r="E115" i="53"/>
  <c r="E140" i="53"/>
  <c r="E46" i="53"/>
  <c r="E112" i="53"/>
  <c r="E15" i="53"/>
  <c r="E130" i="53"/>
  <c r="E5" i="53"/>
  <c r="E3" i="53"/>
  <c r="E44" i="53"/>
  <c r="E45" i="53"/>
  <c r="E64" i="53"/>
  <c r="E78" i="53"/>
  <c r="E8" i="53"/>
  <c r="E74" i="53"/>
  <c r="E54" i="53"/>
  <c r="E23" i="53"/>
  <c r="E97" i="53"/>
  <c r="B2" i="50"/>
  <c r="H33" i="54"/>
  <c r="C14" i="55"/>
  <c r="F8" i="55"/>
  <c r="A71" i="53"/>
  <c r="L18" i="52"/>
  <c r="G32" i="55"/>
  <c r="E4" i="54"/>
  <c r="F9" i="55"/>
  <c r="D39" i="55"/>
  <c r="A50" i="53"/>
  <c r="B5" i="53"/>
  <c r="G15" i="55"/>
  <c r="I15" i="50"/>
  <c r="G25" i="55"/>
  <c r="D38" i="54"/>
  <c r="H48" i="54"/>
  <c r="G20" i="54"/>
  <c r="H5" i="55"/>
  <c r="D26" i="50"/>
  <c r="B52" i="53"/>
  <c r="E24" i="50"/>
  <c r="G12" i="55"/>
  <c r="B7" i="53"/>
  <c r="I39" i="50"/>
  <c r="B30" i="53"/>
  <c r="F16" i="55"/>
  <c r="C31" i="54"/>
  <c r="I18" i="50"/>
  <c r="F26" i="55"/>
  <c r="E11" i="50"/>
  <c r="A65" i="53"/>
  <c r="F40" i="54"/>
  <c r="I41" i="54"/>
  <c r="D40" i="50"/>
  <c r="C28" i="55"/>
  <c r="E22" i="54"/>
  <c r="G27" i="54"/>
  <c r="B139" i="53"/>
  <c r="D9" i="55"/>
  <c r="F49" i="54"/>
  <c r="B27" i="53"/>
  <c r="D23" i="50"/>
  <c r="I37" i="54"/>
  <c r="H22" i="55"/>
  <c r="G33" i="55"/>
  <c r="B116" i="53"/>
  <c r="C36" i="54"/>
  <c r="E31" i="55"/>
  <c r="D36" i="54"/>
  <c r="D19" i="55"/>
  <c r="E42" i="54"/>
  <c r="G17" i="55"/>
  <c r="E47" i="54"/>
  <c r="A43" i="53"/>
  <c r="B20" i="53"/>
  <c r="D7" i="54"/>
  <c r="H30" i="55"/>
  <c r="F24" i="50"/>
  <c r="E15" i="50"/>
  <c r="A70" i="53"/>
  <c r="D35" i="50"/>
  <c r="B16" i="53"/>
  <c r="B137" i="53"/>
  <c r="D25" i="50"/>
  <c r="B3" i="53"/>
  <c r="E29" i="50"/>
  <c r="D10" i="50"/>
  <c r="G23" i="54"/>
  <c r="B124" i="53"/>
  <c r="B73" i="53"/>
  <c r="C24" i="54"/>
  <c r="F39" i="50"/>
  <c r="H23" i="55"/>
  <c r="D92" i="53"/>
  <c r="C3" i="55"/>
  <c r="F29" i="54"/>
  <c r="C6" i="54"/>
  <c r="I44" i="54"/>
  <c r="B111" i="53"/>
  <c r="F37" i="50"/>
  <c r="G6" i="55"/>
  <c r="H15" i="54"/>
  <c r="I16" i="54"/>
  <c r="F45" i="54"/>
  <c r="D7" i="55"/>
  <c r="I5" i="54"/>
  <c r="I40" i="54"/>
  <c r="D22" i="55"/>
  <c r="I21" i="54"/>
  <c r="I27" i="50"/>
  <c r="I8" i="50"/>
  <c r="E25" i="50"/>
  <c r="B136" i="53"/>
  <c r="D118" i="53"/>
  <c r="B89" i="53"/>
  <c r="L28" i="52"/>
  <c r="D79" i="53"/>
  <c r="G29" i="55"/>
  <c r="D34" i="50"/>
  <c r="B96" i="53"/>
  <c r="E34" i="54"/>
  <c r="E2" i="50"/>
  <c r="D45" i="54"/>
  <c r="D20" i="50"/>
  <c r="F36" i="55"/>
  <c r="F10" i="55"/>
  <c r="B80" i="53"/>
  <c r="L48" i="52"/>
  <c r="C45" i="54"/>
  <c r="G4" i="54"/>
  <c r="G3" i="55"/>
  <c r="G43" i="54"/>
  <c r="C24" i="55"/>
  <c r="B49" i="53"/>
  <c r="A112" i="53"/>
  <c r="D6" i="55"/>
  <c r="F9" i="54"/>
  <c r="B26" i="53"/>
  <c r="B67" i="53"/>
  <c r="D16" i="55"/>
  <c r="E33" i="54"/>
  <c r="B113" i="53"/>
  <c r="G9" i="55"/>
  <c r="C15" i="54"/>
  <c r="G14" i="54"/>
  <c r="A77" i="53"/>
  <c r="A136" i="53"/>
  <c r="C4" i="55"/>
  <c r="E41" i="50"/>
  <c r="E32" i="50"/>
  <c r="E16" i="55"/>
  <c r="F6" i="54"/>
  <c r="D40" i="54"/>
  <c r="C5" i="54"/>
  <c r="D24" i="54"/>
  <c r="I12" i="50"/>
  <c r="I19" i="50"/>
  <c r="A119" i="53"/>
  <c r="E34" i="55"/>
  <c r="A53" i="53"/>
  <c r="E4" i="55"/>
  <c r="I10" i="54"/>
  <c r="H45" i="54"/>
  <c r="H50" i="54"/>
  <c r="L40" i="52"/>
  <c r="F26" i="50"/>
  <c r="L47" i="52"/>
  <c r="D11" i="50"/>
  <c r="D15" i="50"/>
  <c r="I36" i="54"/>
  <c r="F23" i="50"/>
  <c r="E39" i="55"/>
  <c r="F5" i="50"/>
  <c r="B114" i="53"/>
  <c r="E6" i="50"/>
  <c r="I47" i="54"/>
  <c r="D11" i="54"/>
  <c r="C34" i="55"/>
  <c r="D4" i="55"/>
  <c r="D25" i="55"/>
  <c r="C11" i="55"/>
  <c r="F11" i="54"/>
  <c r="D5" i="50"/>
  <c r="G11" i="55"/>
  <c r="D12" i="50"/>
  <c r="G28" i="55"/>
  <c r="E13" i="55"/>
  <c r="B74" i="53"/>
  <c r="F16" i="50"/>
  <c r="E12" i="50"/>
  <c r="F36" i="50"/>
  <c r="D89" i="53"/>
  <c r="A13" i="53"/>
  <c r="B87" i="53"/>
  <c r="E21" i="50"/>
  <c r="D39" i="50"/>
  <c r="H26" i="55"/>
  <c r="D24" i="53"/>
  <c r="E7" i="55"/>
  <c r="E25" i="55"/>
  <c r="H49" i="54"/>
  <c r="E10" i="54"/>
  <c r="I49" i="54"/>
  <c r="D46" i="54"/>
  <c r="D4" i="54"/>
  <c r="C12" i="55"/>
  <c r="A89" i="53"/>
  <c r="A47" i="53"/>
  <c r="E2" i="55"/>
  <c r="E38" i="50"/>
  <c r="A96" i="53"/>
  <c r="B82" i="53"/>
  <c r="H20" i="55"/>
  <c r="A79" i="53"/>
  <c r="F6" i="55"/>
  <c r="G9" i="54"/>
  <c r="E20" i="50"/>
  <c r="H16" i="55"/>
  <c r="B143" i="53"/>
  <c r="D85" i="53"/>
  <c r="B138" i="53"/>
  <c r="I20" i="50"/>
  <c r="L21" i="52"/>
  <c r="B105" i="53"/>
  <c r="A31" i="53"/>
  <c r="C38" i="54"/>
  <c r="E43" i="54"/>
  <c r="B75" i="53"/>
  <c r="E17" i="54"/>
  <c r="B21" i="53"/>
  <c r="C21" i="55"/>
  <c r="F19" i="55"/>
  <c r="D22" i="54"/>
  <c r="H33" i="55"/>
  <c r="G14" i="55"/>
  <c r="F23" i="54"/>
  <c r="F41" i="55"/>
  <c r="I18" i="54"/>
  <c r="D21" i="54"/>
  <c r="I5" i="50"/>
  <c r="G25" i="54"/>
  <c r="A52" i="53"/>
  <c r="G2" i="55"/>
  <c r="A69" i="53"/>
  <c r="E5" i="55"/>
  <c r="B130" i="53"/>
  <c r="C2" i="55"/>
  <c r="F25" i="55"/>
  <c r="F50" i="54"/>
  <c r="G21" i="54"/>
  <c r="A32" i="53"/>
  <c r="C47" i="54"/>
  <c r="D38" i="50"/>
  <c r="B70" i="53"/>
  <c r="E38" i="55"/>
  <c r="B57" i="53"/>
  <c r="D33" i="50"/>
  <c r="E3" i="50"/>
  <c r="H24" i="55"/>
  <c r="B88" i="53"/>
  <c r="C7" i="55"/>
  <c r="D27" i="53"/>
  <c r="A131" i="53"/>
  <c r="H37" i="54"/>
  <c r="C22" i="54"/>
  <c r="D10" i="55"/>
  <c r="I27" i="54"/>
  <c r="H41" i="54"/>
  <c r="G49" i="54"/>
  <c r="A126" i="53"/>
  <c r="H19" i="55"/>
  <c r="I41" i="50"/>
  <c r="I22" i="54"/>
  <c r="A116" i="53"/>
  <c r="E35" i="54"/>
  <c r="B121" i="53"/>
  <c r="G12" i="54"/>
  <c r="B47" i="53"/>
  <c r="E31" i="50"/>
  <c r="G8" i="54"/>
  <c r="I16" i="50"/>
  <c r="I50" i="54"/>
  <c r="F30" i="55"/>
  <c r="I46" i="54"/>
  <c r="D36" i="50"/>
  <c r="D42" i="54"/>
  <c r="G32" i="54"/>
  <c r="D17" i="55"/>
  <c r="D18" i="55"/>
  <c r="D147" i="53"/>
  <c r="F24" i="55"/>
  <c r="F39" i="54"/>
  <c r="G35" i="55"/>
  <c r="L11" i="51"/>
  <c r="B18" i="53"/>
  <c r="A24" i="53"/>
  <c r="E32" i="54"/>
  <c r="I40" i="50"/>
  <c r="D81" i="53"/>
  <c r="D7" i="50"/>
  <c r="B146" i="53"/>
  <c r="B115" i="53"/>
  <c r="D27" i="54"/>
  <c r="B150" i="53"/>
  <c r="E25" i="54"/>
  <c r="D3" i="54"/>
  <c r="F30" i="50"/>
  <c r="E33" i="55"/>
  <c r="D23" i="55"/>
  <c r="L5" i="51"/>
  <c r="E18" i="54"/>
  <c r="E10" i="55"/>
  <c r="F33" i="54"/>
  <c r="A2" i="53"/>
  <c r="B101" i="53"/>
  <c r="I29" i="54"/>
  <c r="A25" i="53"/>
  <c r="I25" i="54"/>
  <c r="I48" i="54"/>
  <c r="B97" i="53"/>
  <c r="H2" i="55"/>
  <c r="L6" i="52"/>
  <c r="I45" i="54"/>
  <c r="G5" i="54"/>
  <c r="H24" i="54"/>
  <c r="I3" i="54"/>
  <c r="B108" i="53"/>
  <c r="A37" i="53"/>
  <c r="B84" i="53"/>
  <c r="E13" i="50"/>
  <c r="A144" i="53"/>
  <c r="E8" i="50"/>
  <c r="L13" i="51"/>
  <c r="A76" i="53"/>
  <c r="F28" i="55"/>
  <c r="F25" i="54"/>
  <c r="B92" i="53"/>
  <c r="D26" i="54"/>
  <c r="A113" i="53"/>
  <c r="J114" i="53" s="1"/>
  <c r="H13" i="55"/>
  <c r="C33" i="55"/>
  <c r="A141" i="53"/>
  <c r="A118" i="53"/>
  <c r="D12" i="55"/>
  <c r="H47" i="54"/>
  <c r="B28" i="53"/>
  <c r="E35" i="50"/>
  <c r="A114" i="53"/>
  <c r="I2" i="54"/>
  <c r="D28" i="53"/>
  <c r="E22" i="55"/>
  <c r="F8" i="54"/>
  <c r="D37" i="55"/>
  <c r="E34" i="50"/>
  <c r="D34" i="54"/>
  <c r="B12" i="53"/>
  <c r="C32" i="54"/>
  <c r="A29" i="53"/>
  <c r="C41" i="54"/>
  <c r="F46" i="54"/>
  <c r="D8" i="50"/>
  <c r="D34" i="53"/>
  <c r="A108" i="53"/>
  <c r="F2" i="50"/>
  <c r="B14" i="53"/>
  <c r="H35" i="54"/>
  <c r="D6" i="54"/>
  <c r="L35" i="52"/>
  <c r="G2" i="54"/>
  <c r="A62" i="53"/>
  <c r="H40" i="54"/>
  <c r="C10" i="54"/>
  <c r="A20" i="53"/>
  <c r="F35" i="55"/>
  <c r="D23" i="54"/>
  <c r="R15" i="55"/>
  <c r="E27" i="55"/>
  <c r="B25" i="53"/>
  <c r="G18" i="54"/>
  <c r="B13" i="53"/>
  <c r="A98" i="53"/>
  <c r="G6" i="54"/>
  <c r="G18" i="55"/>
  <c r="A138" i="53"/>
  <c r="B129" i="53"/>
  <c r="F17" i="54"/>
  <c r="L39" i="52"/>
  <c r="A83" i="53"/>
  <c r="D51" i="54"/>
  <c r="H32" i="55"/>
  <c r="A148" i="53"/>
  <c r="B86" i="53"/>
  <c r="B103" i="53"/>
  <c r="B119" i="53"/>
  <c r="C20" i="55"/>
  <c r="L4" i="51"/>
  <c r="G4" i="55"/>
  <c r="D28" i="55"/>
  <c r="A90" i="53"/>
  <c r="C49" i="54"/>
  <c r="L6" i="51"/>
  <c r="B45" i="53"/>
  <c r="G10" i="54"/>
  <c r="C32" i="55"/>
  <c r="L23" i="52"/>
  <c r="F13" i="50"/>
  <c r="B133" i="53"/>
  <c r="I38" i="50"/>
  <c r="D34" i="55"/>
  <c r="F28" i="54"/>
  <c r="E4" i="50"/>
  <c r="A35" i="53"/>
  <c r="D2" i="55"/>
  <c r="B141" i="53"/>
  <c r="L30" i="52"/>
  <c r="A140" i="53"/>
  <c r="C13" i="55"/>
  <c r="E2" i="54"/>
  <c r="G24" i="54"/>
  <c r="B85" i="53"/>
  <c r="I22" i="50"/>
  <c r="F33" i="50"/>
  <c r="H38" i="54"/>
  <c r="I14" i="54"/>
  <c r="D18" i="54"/>
  <c r="G7" i="54"/>
  <c r="C12" i="54"/>
  <c r="H39" i="55"/>
  <c r="H8" i="55"/>
  <c r="A4" i="53"/>
  <c r="H21" i="55"/>
  <c r="I26" i="54"/>
  <c r="G30" i="54"/>
  <c r="E51" i="54"/>
  <c r="A14" i="53"/>
  <c r="J15" i="53" s="1"/>
  <c r="E49" i="54"/>
  <c r="E17" i="55"/>
  <c r="A103" i="53"/>
  <c r="F21" i="54"/>
  <c r="G8" i="55"/>
  <c r="L50" i="52"/>
  <c r="D28" i="50"/>
  <c r="E19" i="50"/>
  <c r="A149" i="53"/>
  <c r="L7" i="52"/>
  <c r="E40" i="54"/>
  <c r="G19" i="55"/>
  <c r="A34" i="53"/>
  <c r="I32" i="50"/>
  <c r="H27" i="54"/>
  <c r="B64" i="53"/>
  <c r="I10" i="50"/>
  <c r="L4" i="52"/>
  <c r="B54" i="53"/>
  <c r="I43" i="54"/>
  <c r="D12" i="54"/>
  <c r="H23" i="54"/>
  <c r="D142" i="53"/>
  <c r="I20" i="54"/>
  <c r="E50" i="54"/>
  <c r="H34" i="55"/>
  <c r="A3" i="53"/>
  <c r="G13" i="54"/>
  <c r="B77" i="53"/>
  <c r="A104" i="53"/>
  <c r="F15" i="54"/>
  <c r="I14" i="50"/>
  <c r="B94" i="53"/>
  <c r="C31" i="55"/>
  <c r="L15" i="52"/>
  <c r="E12" i="54"/>
  <c r="F43" i="54"/>
  <c r="L31" i="52"/>
  <c r="E6" i="55"/>
  <c r="G45" i="54"/>
  <c r="E21" i="55"/>
  <c r="B61" i="53"/>
  <c r="I9" i="54"/>
  <c r="F23" i="55"/>
  <c r="L8" i="52"/>
  <c r="F12" i="55"/>
  <c r="E14" i="55"/>
  <c r="F38" i="54"/>
  <c r="D8" i="54"/>
  <c r="E40" i="50"/>
  <c r="D41" i="55"/>
  <c r="B23" i="53"/>
  <c r="A150" i="53"/>
  <c r="F40" i="55"/>
  <c r="D27" i="55"/>
  <c r="E7" i="50"/>
  <c r="A115" i="53"/>
  <c r="A68" i="53"/>
  <c r="A99" i="53"/>
  <c r="C29" i="55"/>
  <c r="B51" i="53"/>
  <c r="D68" i="53"/>
  <c r="A21" i="53"/>
  <c r="F36" i="54"/>
  <c r="B46" i="53"/>
  <c r="F26" i="54"/>
  <c r="G26" i="54"/>
  <c r="G28" i="54"/>
  <c r="A133" i="53"/>
  <c r="L14" i="51"/>
  <c r="H12" i="54"/>
  <c r="L20" i="52"/>
  <c r="H16" i="54"/>
  <c r="H25" i="54"/>
  <c r="D44" i="54"/>
  <c r="B91" i="53"/>
  <c r="E30" i="50"/>
  <c r="I23" i="50"/>
  <c r="A86" i="53"/>
  <c r="I15" i="54"/>
  <c r="A143" i="53"/>
  <c r="E36" i="50"/>
  <c r="A72" i="53"/>
  <c r="D70" i="53"/>
  <c r="A42" i="53"/>
  <c r="C29" i="54"/>
  <c r="F41" i="50"/>
  <c r="C30" i="55"/>
  <c r="D31" i="50"/>
  <c r="B60" i="53"/>
  <c r="A33" i="53"/>
  <c r="C6" i="55"/>
  <c r="E18" i="55"/>
  <c r="F19" i="50"/>
  <c r="D29" i="55"/>
  <c r="A59" i="53"/>
  <c r="B35" i="53"/>
  <c r="E14" i="50"/>
  <c r="A39" i="53"/>
  <c r="I17" i="54"/>
  <c r="D30" i="54"/>
  <c r="E26" i="55"/>
  <c r="I11" i="50"/>
  <c r="L12" i="52"/>
  <c r="B34" i="53"/>
  <c r="G16" i="55"/>
  <c r="D33" i="55"/>
  <c r="G50" i="54"/>
  <c r="A30" i="53"/>
  <c r="B62" i="53"/>
  <c r="L45" i="52"/>
  <c r="L13" i="52"/>
  <c r="A106" i="53"/>
  <c r="C5" i="55"/>
  <c r="E24" i="54"/>
  <c r="A75" i="53"/>
  <c r="H10" i="55"/>
  <c r="F27" i="54"/>
  <c r="G34" i="54"/>
  <c r="E39" i="50"/>
  <c r="H44" i="54"/>
  <c r="D49" i="54"/>
  <c r="A17" i="53"/>
  <c r="A23" i="53"/>
  <c r="F31" i="54"/>
  <c r="F7" i="50"/>
  <c r="G36" i="54"/>
  <c r="G3" i="54"/>
  <c r="I9" i="50"/>
  <c r="G36" i="55"/>
  <c r="H4" i="54"/>
  <c r="A85" i="53"/>
  <c r="E38" i="54"/>
  <c r="A51" i="53"/>
  <c r="B83" i="53"/>
  <c r="E10" i="50"/>
  <c r="E23" i="55"/>
  <c r="H17" i="54"/>
  <c r="J36" i="53"/>
  <c r="H3" i="54"/>
  <c r="H25" i="55"/>
  <c r="A66" i="53"/>
  <c r="D11" i="55"/>
  <c r="E21" i="54"/>
  <c r="A22" i="53"/>
  <c r="A120" i="53"/>
  <c r="A81" i="53"/>
  <c r="D27" i="50"/>
  <c r="C18" i="55"/>
  <c r="A93" i="53"/>
  <c r="E26" i="54"/>
  <c r="C23" i="55"/>
  <c r="E9" i="55"/>
  <c r="A56" i="53"/>
  <c r="L25" i="52"/>
  <c r="H18" i="55"/>
  <c r="L22" i="52"/>
  <c r="C40" i="55"/>
  <c r="E36" i="55"/>
  <c r="E33" i="50"/>
  <c r="D19" i="54"/>
  <c r="G38" i="55"/>
  <c r="A11" i="53"/>
  <c r="D14" i="50"/>
  <c r="C22" i="55"/>
  <c r="C9" i="55"/>
  <c r="A73" i="53"/>
  <c r="F48" i="54"/>
  <c r="F3" i="54"/>
  <c r="H51" i="54"/>
  <c r="B104" i="53"/>
  <c r="D31" i="54"/>
  <c r="E16" i="54"/>
  <c r="B44" i="53"/>
  <c r="B145" i="53"/>
  <c r="F14" i="50"/>
  <c r="H31" i="54"/>
  <c r="C37" i="55"/>
  <c r="D47" i="54"/>
  <c r="G27" i="55"/>
  <c r="A44" i="53"/>
  <c r="F10" i="54"/>
  <c r="F37" i="54"/>
  <c r="B79" i="53"/>
  <c r="F22" i="50"/>
  <c r="F4" i="50"/>
  <c r="A97" i="53"/>
  <c r="A5" i="53"/>
  <c r="B126" i="53"/>
  <c r="B106" i="53"/>
  <c r="D20" i="55"/>
  <c r="I24" i="50"/>
  <c r="E11" i="55"/>
  <c r="I28" i="54"/>
  <c r="F24" i="54"/>
  <c r="I13" i="54"/>
  <c r="A130" i="53"/>
  <c r="E18" i="50"/>
  <c r="D30" i="55"/>
  <c r="H20" i="54"/>
  <c r="F34" i="55"/>
  <c r="D21" i="50"/>
  <c r="B72" i="53"/>
  <c r="I26" i="50"/>
  <c r="F5" i="54"/>
  <c r="L32" i="52"/>
  <c r="E29" i="54"/>
  <c r="B66" i="53"/>
  <c r="D48" i="54"/>
  <c r="L42" i="52"/>
  <c r="H10" i="54"/>
  <c r="B78" i="53"/>
  <c r="B37" i="53"/>
  <c r="B41" i="53"/>
  <c r="A48" i="53"/>
  <c r="B125" i="53"/>
  <c r="C21" i="54"/>
  <c r="H11" i="55"/>
  <c r="A45" i="53"/>
  <c r="J46" i="53" s="1"/>
  <c r="G46" i="54"/>
  <c r="C25" i="55"/>
  <c r="P26" i="55" s="1"/>
  <c r="C27" i="55"/>
  <c r="B128" i="53"/>
  <c r="H38" i="55"/>
  <c r="H21" i="54"/>
  <c r="C8" i="55"/>
  <c r="G40" i="55"/>
  <c r="L41" i="52"/>
  <c r="A92" i="53"/>
  <c r="A137" i="53"/>
  <c r="C51" i="54"/>
  <c r="G17" i="54"/>
  <c r="F40" i="50"/>
  <c r="D8" i="55"/>
  <c r="A94" i="53"/>
  <c r="J95" i="53" s="1"/>
  <c r="F10" i="50"/>
  <c r="I8" i="54"/>
  <c r="C23" i="54"/>
  <c r="D37" i="54"/>
  <c r="I31" i="54"/>
  <c r="G39" i="55"/>
  <c r="L52" i="52"/>
  <c r="F7" i="55"/>
  <c r="D13" i="55"/>
  <c r="H7" i="54"/>
  <c r="A123" i="53"/>
  <c r="I24" i="54"/>
  <c r="A10" i="53"/>
  <c r="I25" i="50"/>
  <c r="F34" i="54"/>
  <c r="L37" i="52"/>
  <c r="A87" i="53"/>
  <c r="D26" i="55"/>
  <c r="G47" i="54"/>
  <c r="H4" i="55"/>
  <c r="G33" i="54"/>
  <c r="L36" i="52"/>
  <c r="D9" i="50"/>
  <c r="B59" i="53"/>
  <c r="D21" i="55"/>
  <c r="D24" i="50"/>
  <c r="F27" i="55"/>
  <c r="D13" i="50"/>
  <c r="I32" i="54"/>
  <c r="I4" i="50"/>
  <c r="I19" i="54"/>
  <c r="H8" i="54"/>
  <c r="E30" i="55"/>
  <c r="I34" i="54"/>
  <c r="E19" i="55"/>
  <c r="D38" i="55"/>
  <c r="L5" i="52"/>
  <c r="I31" i="50"/>
  <c r="B76" i="53"/>
  <c r="J77" i="53" s="1"/>
  <c r="C25" i="54"/>
  <c r="C39" i="55"/>
  <c r="A55" i="53"/>
  <c r="J56" i="53" s="1"/>
  <c r="A145" i="53"/>
  <c r="E31" i="54"/>
  <c r="B81" i="53"/>
  <c r="A88" i="53"/>
  <c r="C19" i="55"/>
  <c r="P20" i="55" s="1"/>
  <c r="A135" i="53"/>
  <c r="D19" i="50"/>
  <c r="G31" i="55"/>
  <c r="I29" i="50"/>
  <c r="E37" i="54"/>
  <c r="F22" i="55"/>
  <c r="L46" i="52"/>
  <c r="I35" i="54"/>
  <c r="H19" i="54"/>
  <c r="C48" i="54"/>
  <c r="A12" i="53"/>
  <c r="D4" i="50"/>
  <c r="H37" i="55"/>
  <c r="D17" i="50"/>
  <c r="F14" i="55"/>
  <c r="E28" i="50"/>
  <c r="H43" i="54"/>
  <c r="B109" i="53"/>
  <c r="G15" i="54"/>
  <c r="L51" i="52"/>
  <c r="I11" i="54"/>
  <c r="A7" i="53"/>
  <c r="J8" i="53" s="1"/>
  <c r="E5" i="50"/>
  <c r="F11" i="55"/>
  <c r="P12" i="55" s="1"/>
  <c r="A109" i="53"/>
  <c r="A132" i="53"/>
  <c r="B43" i="53"/>
  <c r="F20" i="50"/>
  <c r="C3" i="54"/>
  <c r="A139" i="53"/>
  <c r="G35" i="54"/>
  <c r="A58" i="53"/>
  <c r="J87" i="53"/>
  <c r="G34" i="55"/>
  <c r="P35" i="55" s="1"/>
  <c r="L10" i="51"/>
  <c r="A26" i="53"/>
  <c r="G37" i="55"/>
  <c r="L16" i="52"/>
  <c r="G26" i="55"/>
  <c r="I30" i="54"/>
  <c r="B10" i="53"/>
  <c r="L17" i="52"/>
  <c r="H17" i="55"/>
  <c r="D31" i="55"/>
  <c r="G44" i="54"/>
  <c r="L10" i="52"/>
  <c r="E17" i="50"/>
  <c r="B98" i="53"/>
  <c r="C10" i="55"/>
  <c r="D5" i="54"/>
  <c r="A107" i="53"/>
  <c r="L3" i="52"/>
  <c r="G22" i="55"/>
  <c r="P23" i="55" s="1"/>
  <c r="F8" i="50"/>
  <c r="D43" i="54"/>
  <c r="A54" i="53"/>
  <c r="E29" i="55"/>
  <c r="F2" i="54"/>
  <c r="C28" i="54"/>
  <c r="G38" i="54"/>
  <c r="F3" i="50"/>
  <c r="I7" i="50"/>
  <c r="A122" i="53"/>
  <c r="D32" i="55"/>
  <c r="I23" i="54"/>
  <c r="B112" i="53"/>
  <c r="L11" i="52"/>
  <c r="D143" i="53"/>
  <c r="F29" i="50"/>
  <c r="H5" i="54"/>
  <c r="H28" i="54"/>
  <c r="A64" i="53"/>
  <c r="F25" i="50"/>
  <c r="F28" i="50"/>
  <c r="I17" i="50"/>
  <c r="H9" i="54"/>
  <c r="E30" i="54"/>
  <c r="B33" i="53"/>
  <c r="A8" i="53"/>
  <c r="I36" i="50"/>
  <c r="I6" i="50"/>
  <c r="A28" i="53"/>
  <c r="A9" i="53"/>
  <c r="D35" i="55"/>
  <c r="C11" i="54"/>
  <c r="D10" i="54"/>
  <c r="B58" i="53"/>
  <c r="I4" i="54"/>
  <c r="C27" i="54"/>
  <c r="I21" i="50"/>
  <c r="G22" i="54"/>
  <c r="F31" i="55"/>
  <c r="L3" i="51"/>
  <c r="D18" i="50"/>
  <c r="A117" i="53"/>
  <c r="D32" i="50"/>
  <c r="H7" i="55"/>
  <c r="B117" i="53"/>
  <c r="A6" i="53"/>
  <c r="D13" i="53"/>
  <c r="F13" i="54"/>
  <c r="H41" i="55"/>
  <c r="D40" i="55"/>
  <c r="A147" i="53"/>
  <c r="F15" i="55"/>
  <c r="A128" i="53"/>
  <c r="L34" i="52"/>
  <c r="E20" i="54"/>
  <c r="I51" i="54"/>
  <c r="E40" i="55"/>
  <c r="E15" i="54"/>
  <c r="D35" i="54"/>
  <c r="E9" i="50"/>
  <c r="B140" i="53"/>
  <c r="B99" i="53"/>
  <c r="J100" i="53" s="1"/>
  <c r="E8" i="55"/>
  <c r="P9" i="55" s="1"/>
  <c r="B134" i="53"/>
  <c r="A121" i="53"/>
  <c r="E14" i="54"/>
  <c r="I39" i="54"/>
  <c r="G42" i="54"/>
  <c r="D29" i="50"/>
  <c r="G41" i="54"/>
  <c r="C42" i="54"/>
  <c r="F17" i="50"/>
  <c r="F33" i="55"/>
  <c r="P34" i="55" s="1"/>
  <c r="G30" i="55"/>
  <c r="P31" i="55" s="1"/>
  <c r="C4" i="54"/>
  <c r="C26" i="55"/>
  <c r="P27" i="55" s="1"/>
  <c r="L9" i="51"/>
  <c r="D13" i="54"/>
  <c r="C37" i="54"/>
  <c r="B9" i="53"/>
  <c r="B69" i="53"/>
  <c r="J70" i="53" s="1"/>
  <c r="D33" i="54"/>
  <c r="A142" i="53"/>
  <c r="A101" i="53"/>
  <c r="F18" i="50"/>
  <c r="J65" i="53"/>
  <c r="C30" i="54"/>
  <c r="F19" i="54"/>
  <c r="A78" i="53"/>
  <c r="J79" i="53" s="1"/>
  <c r="B148" i="53"/>
  <c r="J149" i="53" s="1"/>
  <c r="B110" i="53"/>
  <c r="A60" i="53"/>
  <c r="J61" i="53" s="1"/>
  <c r="A38" i="53"/>
  <c r="A134" i="53"/>
  <c r="J135" i="53" s="1"/>
  <c r="F37" i="55"/>
  <c r="A46" i="53"/>
  <c r="A105" i="53"/>
  <c r="L12" i="51"/>
  <c r="C36" i="55"/>
  <c r="F3" i="55"/>
  <c r="H6" i="55"/>
  <c r="P7" i="55" s="1"/>
  <c r="D37" i="50"/>
  <c r="C38" i="55"/>
  <c r="F32" i="55"/>
  <c r="G10" i="55"/>
  <c r="P11" i="55" s="1"/>
  <c r="H36" i="54"/>
  <c r="E20" i="55"/>
  <c r="E13" i="54"/>
  <c r="I7" i="54"/>
  <c r="D2" i="50"/>
  <c r="E3" i="54"/>
  <c r="D32" i="54"/>
  <c r="J116" i="53"/>
  <c r="A15" i="53"/>
  <c r="D17" i="54"/>
  <c r="E19" i="54"/>
  <c r="C46" i="54"/>
  <c r="I42" i="54"/>
  <c r="C15" i="55"/>
  <c r="D16" i="50"/>
  <c r="B95" i="53"/>
  <c r="B107" i="53"/>
  <c r="H13" i="54"/>
  <c r="B53" i="53"/>
  <c r="E6" i="54"/>
  <c r="B147" i="53"/>
  <c r="G19" i="54"/>
  <c r="L33" i="52"/>
  <c r="H32" i="54"/>
  <c r="B90" i="53"/>
  <c r="B36" i="53"/>
  <c r="F27" i="50"/>
  <c r="B127" i="53"/>
  <c r="D29" i="54"/>
  <c r="F34" i="50"/>
  <c r="E24" i="55"/>
  <c r="B2" i="53"/>
  <c r="F39" i="55"/>
  <c r="P40" i="55" s="1"/>
  <c r="B29" i="53"/>
  <c r="E5" i="54"/>
  <c r="A129" i="53"/>
  <c r="C33" i="54"/>
  <c r="H15" i="55"/>
  <c r="J38" i="53"/>
  <c r="C19" i="54"/>
  <c r="C40" i="54"/>
  <c r="E11" i="54"/>
  <c r="B19" i="53"/>
  <c r="C35" i="55"/>
  <c r="C7" i="54"/>
  <c r="B142" i="53"/>
  <c r="F9" i="50"/>
  <c r="D39" i="54"/>
  <c r="A84" i="53"/>
  <c r="J85" i="53" s="1"/>
  <c r="D9" i="53"/>
  <c r="A67" i="53"/>
  <c r="F18" i="54"/>
  <c r="E9" i="54"/>
  <c r="F6" i="50"/>
  <c r="I30" i="50"/>
  <c r="L26" i="52"/>
  <c r="A16" i="53"/>
  <c r="J17" i="53" s="1"/>
  <c r="H14" i="55"/>
  <c r="E36" i="54"/>
  <c r="L38" i="52"/>
  <c r="D146" i="53"/>
  <c r="B68" i="53"/>
  <c r="H2" i="54"/>
  <c r="B65" i="53"/>
  <c r="J66" i="53" s="1"/>
  <c r="H34" i="54"/>
  <c r="C8" i="54"/>
  <c r="E39" i="54"/>
  <c r="C35" i="54"/>
  <c r="E48" i="54"/>
  <c r="D25" i="54"/>
  <c r="B39" i="53"/>
  <c r="I13" i="50"/>
  <c r="G51" i="54"/>
  <c r="E16" i="50"/>
  <c r="B17" i="53"/>
  <c r="J105" i="53"/>
  <c r="L9" i="52"/>
  <c r="J122" i="53"/>
  <c r="B102" i="53"/>
  <c r="E22" i="50"/>
  <c r="E37" i="55"/>
  <c r="P38" i="55" s="1"/>
  <c r="J139" i="53"/>
  <c r="D20" i="54"/>
  <c r="J130" i="53"/>
  <c r="B56" i="53"/>
  <c r="I33" i="50"/>
  <c r="F18" i="55"/>
  <c r="P19" i="55" s="1"/>
  <c r="H29" i="54"/>
  <c r="H3" i="55"/>
  <c r="D50" i="54"/>
  <c r="E32" i="55"/>
  <c r="P33" i="55" s="1"/>
  <c r="D67" i="53"/>
  <c r="C39" i="54"/>
  <c r="F16" i="54"/>
  <c r="F21" i="55"/>
  <c r="B151" i="53"/>
  <c r="A110" i="53"/>
  <c r="F20" i="55"/>
  <c r="D15" i="55"/>
  <c r="I34" i="50"/>
  <c r="B22" i="53"/>
  <c r="J51" i="54"/>
  <c r="A40" i="53"/>
  <c r="H29" i="55"/>
  <c r="E41" i="55"/>
  <c r="C50" i="54"/>
  <c r="G5" i="55"/>
  <c r="H6" i="54"/>
  <c r="A18" i="53"/>
  <c r="D9" i="54"/>
  <c r="E7" i="54"/>
  <c r="C41" i="55"/>
  <c r="A41" i="53"/>
  <c r="J42" i="53" s="1"/>
  <c r="B24" i="53"/>
  <c r="A91" i="53"/>
  <c r="F12" i="54"/>
  <c r="I38" i="54"/>
  <c r="C26" i="54"/>
  <c r="H9" i="55"/>
  <c r="P10" i="55" s="1"/>
  <c r="E27" i="54"/>
  <c r="F12" i="50"/>
  <c r="A19" i="53"/>
  <c r="J20" i="53" s="1"/>
  <c r="E28" i="55"/>
  <c r="G40" i="54"/>
  <c r="B132" i="53"/>
  <c r="F32" i="50"/>
  <c r="A36" i="53"/>
  <c r="H30" i="54"/>
  <c r="H36" i="55"/>
  <c r="E27" i="50"/>
  <c r="L7" i="51"/>
  <c r="C9" i="54"/>
  <c r="B11" i="53"/>
  <c r="H14" i="54"/>
  <c r="B32" i="53"/>
  <c r="F32" i="54"/>
  <c r="B6" i="53"/>
  <c r="E3" i="55"/>
  <c r="H22" i="54"/>
  <c r="I12" i="54"/>
  <c r="C17" i="54"/>
  <c r="D14" i="54"/>
  <c r="F14" i="54"/>
  <c r="F47" i="54"/>
  <c r="B93" i="53"/>
  <c r="D24" i="55"/>
  <c r="E37" i="50"/>
  <c r="B122" i="53"/>
  <c r="J123" i="53" s="1"/>
  <c r="F7" i="54"/>
  <c r="E45" i="54"/>
  <c r="C20" i="54"/>
  <c r="B48" i="53"/>
  <c r="E12" i="55"/>
  <c r="F11" i="50"/>
  <c r="B135" i="53"/>
  <c r="A151" i="53"/>
  <c r="H31" i="55"/>
  <c r="P32" i="55" s="1"/>
  <c r="L24" i="52"/>
  <c r="F44" i="54"/>
  <c r="F51" i="54"/>
  <c r="J115" i="53"/>
  <c r="H39" i="54"/>
  <c r="D38" i="53"/>
  <c r="F38" i="50"/>
  <c r="L19" i="52"/>
  <c r="G20" i="55"/>
  <c r="P21" i="55" s="1"/>
  <c r="A57" i="53"/>
  <c r="B63" i="53"/>
  <c r="H35" i="55"/>
  <c r="E23" i="54"/>
  <c r="B118" i="53"/>
  <c r="D22" i="50"/>
  <c r="A80" i="53"/>
  <c r="H26" i="54"/>
  <c r="D28" i="54"/>
  <c r="F41" i="54"/>
  <c r="E41" i="54"/>
  <c r="B149" i="53"/>
  <c r="F38" i="55"/>
  <c r="P39" i="55" s="1"/>
  <c r="F4" i="55"/>
  <c r="P5" i="55" s="1"/>
  <c r="B131" i="53"/>
  <c r="C17" i="55"/>
  <c r="I2" i="50"/>
  <c r="H28" i="55"/>
  <c r="P29" i="55" s="1"/>
  <c r="A61" i="53"/>
  <c r="C13" i="54"/>
  <c r="B40" i="53"/>
  <c r="J31" i="53"/>
  <c r="G48" i="54"/>
  <c r="B42" i="53"/>
  <c r="J43" i="53" s="1"/>
  <c r="B38" i="53"/>
  <c r="B15" i="53"/>
  <c r="F29" i="55"/>
  <c r="P30" i="55" s="1"/>
  <c r="A111" i="53"/>
  <c r="A102" i="53"/>
  <c r="B50" i="53"/>
  <c r="A63" i="53"/>
  <c r="G24" i="55"/>
  <c r="P25" i="55" s="1"/>
  <c r="G31" i="54"/>
  <c r="D14" i="55"/>
  <c r="P15" i="55" s="1"/>
  <c r="A27" i="53"/>
  <c r="A125" i="53"/>
  <c r="J126" i="53" s="1"/>
  <c r="F15" i="50"/>
  <c r="F13" i="55"/>
  <c r="H12" i="55"/>
  <c r="P13" i="55" s="1"/>
  <c r="F21" i="50"/>
  <c r="L14" i="52"/>
  <c r="I28" i="50"/>
  <c r="G16" i="54"/>
  <c r="E35" i="55"/>
  <c r="P36" i="55" s="1"/>
  <c r="J64" i="53"/>
  <c r="C18" i="54"/>
  <c r="D30" i="50"/>
  <c r="D15" i="54"/>
  <c r="F35" i="54"/>
  <c r="B100" i="53"/>
  <c r="H27" i="55"/>
  <c r="P28" i="55" s="1"/>
  <c r="L8" i="51"/>
  <c r="A49" i="53"/>
  <c r="J50" i="53" s="1"/>
  <c r="F35" i="50"/>
  <c r="C43" i="54"/>
  <c r="H46" i="54"/>
  <c r="F31" i="50"/>
  <c r="L43" i="52"/>
  <c r="I33" i="54"/>
  <c r="F4" i="54"/>
  <c r="H11" i="54"/>
  <c r="F42" i="54"/>
  <c r="E44" i="54"/>
  <c r="F30" i="54"/>
  <c r="E26" i="50"/>
  <c r="G29" i="54"/>
  <c r="D6" i="50"/>
  <c r="B120" i="53"/>
  <c r="H40" i="55"/>
  <c r="P41" i="55" s="1"/>
  <c r="G39" i="54"/>
  <c r="G13" i="55"/>
  <c r="P14" i="55" s="1"/>
  <c r="A74" i="53"/>
  <c r="C16" i="54"/>
  <c r="H18" i="54"/>
  <c r="I3" i="50"/>
  <c r="L29" i="52"/>
  <c r="G37" i="54"/>
  <c r="E23" i="50"/>
  <c r="A146" i="53"/>
  <c r="E8" i="54"/>
  <c r="I37" i="50"/>
  <c r="D3" i="50"/>
  <c r="J140" i="53"/>
  <c r="B123" i="53"/>
  <c r="J124" i="53" s="1"/>
  <c r="G11" i="54"/>
  <c r="C44" i="54"/>
  <c r="F2" i="55"/>
  <c r="P3" i="55" s="1"/>
  <c r="G7" i="55"/>
  <c r="P8" i="55" s="1"/>
  <c r="B31" i="53"/>
  <c r="A82" i="53"/>
  <c r="D3" i="55"/>
  <c r="P4" i="55" s="1"/>
  <c r="E15" i="55"/>
  <c r="P16" i="55" s="1"/>
  <c r="E46" i="54"/>
  <c r="J132" i="53"/>
  <c r="F17" i="55"/>
  <c r="P18" i="55" s="1"/>
  <c r="D2" i="54"/>
  <c r="H42" i="54"/>
  <c r="A95" i="53"/>
  <c r="G41" i="55"/>
  <c r="P42" i="55" s="1"/>
  <c r="A127" i="53"/>
  <c r="J128" i="53" s="1"/>
  <c r="L49" i="52"/>
  <c r="D16" i="54"/>
  <c r="F22" i="54"/>
  <c r="D5" i="55"/>
  <c r="F5" i="55"/>
  <c r="P6" i="55" s="1"/>
  <c r="C34" i="54"/>
  <c r="L44" i="52"/>
  <c r="F20" i="54"/>
  <c r="D41" i="50"/>
  <c r="E28" i="54"/>
  <c r="C16" i="55"/>
  <c r="P17" i="55" s="1"/>
  <c r="D41" i="54"/>
  <c r="B71" i="53"/>
  <c r="A100" i="53"/>
  <c r="C14" i="54"/>
  <c r="B144" i="53"/>
  <c r="J145" i="53" s="1"/>
  <c r="I35" i="50"/>
  <c r="B8" i="53"/>
  <c r="A124" i="53"/>
  <c r="D36" i="55"/>
  <c r="P37" i="55" s="1"/>
  <c r="B4" i="53"/>
  <c r="G23" i="55"/>
  <c r="P24" i="55" s="1"/>
  <c r="I6" i="54"/>
  <c r="L27" i="52"/>
  <c r="G21" i="55"/>
  <c r="P22" i="55" s="1"/>
  <c r="E9" i="53" l="1"/>
  <c r="E92" i="53"/>
  <c r="E85" i="53"/>
  <c r="E34" i="53"/>
  <c r="E68" i="53"/>
  <c r="E24" i="53"/>
  <c r="E38" i="53"/>
  <c r="E89" i="53"/>
  <c r="E70" i="53"/>
  <c r="E147" i="53"/>
  <c r="E142" i="53"/>
  <c r="E118" i="53"/>
  <c r="E81" i="53"/>
  <c r="E28" i="53"/>
  <c r="E13" i="53"/>
  <c r="E67" i="53"/>
  <c r="E146" i="53"/>
  <c r="E27" i="53"/>
  <c r="E143" i="53"/>
  <c r="E79" i="53"/>
  <c r="C26" i="50"/>
  <c r="C2" i="50"/>
  <c r="C22" i="50"/>
  <c r="C17" i="50"/>
  <c r="C16" i="50"/>
  <c r="C37" i="50"/>
  <c r="C13" i="50"/>
  <c r="C32" i="50"/>
  <c r="C24" i="50"/>
  <c r="C11" i="50"/>
  <c r="C28" i="50"/>
  <c r="C6" i="50"/>
  <c r="C39" i="50"/>
  <c r="C36" i="50"/>
  <c r="C19" i="50"/>
  <c r="C3" i="50"/>
  <c r="C40" i="50"/>
  <c r="C9" i="50"/>
  <c r="C23" i="50"/>
  <c r="C4" i="50"/>
  <c r="C15" i="50"/>
  <c r="C14" i="50"/>
  <c r="C21" i="50"/>
  <c r="C27" i="50"/>
  <c r="C5" i="50"/>
  <c r="C20" i="50"/>
  <c r="C34" i="50"/>
  <c r="C33" i="50"/>
  <c r="C18" i="50"/>
  <c r="C8" i="50"/>
  <c r="C25" i="50"/>
  <c r="C31" i="50"/>
  <c r="C10" i="50"/>
  <c r="C35" i="50"/>
  <c r="C41" i="50"/>
  <c r="C29" i="50"/>
  <c r="C7" i="50"/>
  <c r="C12" i="50"/>
  <c r="C30" i="50"/>
  <c r="C38" i="50"/>
  <c r="J5" i="53"/>
  <c r="J54" i="53"/>
  <c r="J73" i="53"/>
  <c r="J120" i="53"/>
  <c r="J4" i="53"/>
  <c r="G28" i="50"/>
  <c r="Q26" i="54"/>
  <c r="G20" i="50"/>
  <c r="Q38" i="54"/>
  <c r="G15" i="50"/>
  <c r="J45" i="53"/>
  <c r="Q23" i="54"/>
  <c r="G18" i="50"/>
  <c r="G26" i="50"/>
  <c r="Q8" i="54"/>
  <c r="J28" i="53"/>
  <c r="Q49" i="54"/>
  <c r="Q33" i="54"/>
  <c r="Q52" i="54"/>
  <c r="J16" i="53"/>
  <c r="Q44" i="54"/>
  <c r="J22" i="53"/>
  <c r="Q22" i="54"/>
  <c r="Q47" i="54"/>
  <c r="J152" i="53"/>
  <c r="G33" i="50"/>
  <c r="J148" i="53"/>
  <c r="J13" i="53"/>
  <c r="J141" i="53"/>
  <c r="J53" i="53"/>
  <c r="Q3" i="54"/>
  <c r="J142" i="53"/>
  <c r="J12" i="53"/>
  <c r="G39" i="50"/>
  <c r="G23" i="50"/>
  <c r="J101" i="53"/>
  <c r="J108" i="53"/>
  <c r="J107" i="53"/>
  <c r="J104" i="53"/>
  <c r="J138" i="53"/>
  <c r="Q31" i="54"/>
  <c r="G32" i="50"/>
  <c r="J10" i="53"/>
  <c r="J63" i="53"/>
  <c r="J58" i="53"/>
  <c r="Q6" i="54"/>
  <c r="J55" i="53"/>
  <c r="J34" i="53"/>
  <c r="G5" i="50"/>
  <c r="J76" i="53"/>
  <c r="G38" i="50"/>
  <c r="Q9" i="54"/>
  <c r="J23" i="53"/>
  <c r="Q14" i="54"/>
  <c r="J47" i="53"/>
  <c r="G7" i="50"/>
  <c r="Q39" i="54"/>
  <c r="J18" i="53"/>
  <c r="Q29" i="54"/>
  <c r="J146" i="53"/>
  <c r="Q15" i="54"/>
  <c r="J6" i="53"/>
  <c r="J67" i="53"/>
  <c r="Q41" i="54"/>
  <c r="J72" i="53"/>
  <c r="J96" i="53"/>
  <c r="J127" i="53"/>
  <c r="J99" i="53"/>
  <c r="J44" i="53"/>
  <c r="G31" i="50"/>
  <c r="J144" i="53"/>
  <c r="Q7" i="54"/>
  <c r="Q28" i="54"/>
  <c r="G24" i="50"/>
  <c r="G16" i="50"/>
  <c r="J27" i="53"/>
  <c r="J90" i="53"/>
  <c r="J117" i="53"/>
  <c r="J89" i="53"/>
  <c r="J82" i="53"/>
  <c r="J134" i="53"/>
  <c r="G14" i="50"/>
  <c r="J32" i="53"/>
  <c r="J106" i="53"/>
  <c r="J57" i="53"/>
  <c r="J109" i="53"/>
  <c r="G27" i="50"/>
  <c r="Q36" i="54"/>
  <c r="G17" i="50"/>
  <c r="J29" i="53"/>
  <c r="J60" i="53"/>
  <c r="G34" i="50"/>
  <c r="Q5" i="54"/>
  <c r="J84" i="53"/>
  <c r="J102" i="53"/>
  <c r="J21" i="53"/>
  <c r="G11" i="50"/>
  <c r="J19" i="53"/>
  <c r="J35" i="53"/>
  <c r="Q43" i="54"/>
  <c r="J62" i="53"/>
  <c r="Q46" i="54"/>
  <c r="J129" i="53"/>
  <c r="J49" i="53"/>
  <c r="G35" i="50"/>
  <c r="J30" i="53"/>
  <c r="J111" i="53"/>
  <c r="J81" i="53"/>
  <c r="G6" i="50"/>
  <c r="G36" i="50"/>
  <c r="G22" i="50"/>
  <c r="Q35" i="54"/>
  <c r="J37" i="53"/>
  <c r="Q42" i="54"/>
  <c r="J51" i="53"/>
  <c r="J7" i="53"/>
  <c r="J94" i="53"/>
  <c r="J98" i="53"/>
  <c r="J147" i="53"/>
  <c r="J69" i="53"/>
  <c r="G21" i="50"/>
  <c r="G2" i="50"/>
  <c r="G10" i="50"/>
  <c r="G19" i="50"/>
  <c r="G30" i="50"/>
  <c r="Q21" i="54"/>
  <c r="Q32" i="54"/>
  <c r="J9" i="53"/>
  <c r="J97" i="53"/>
  <c r="Q37" i="54"/>
  <c r="Q17" i="54"/>
  <c r="J110" i="53"/>
  <c r="G13" i="50"/>
  <c r="Q19" i="54"/>
  <c r="J78" i="53"/>
  <c r="J74" i="53"/>
  <c r="Q25" i="54"/>
  <c r="J113" i="53"/>
  <c r="G25" i="50"/>
  <c r="J103" i="53"/>
  <c r="J118" i="53"/>
  <c r="J121" i="53"/>
  <c r="J26" i="53"/>
  <c r="Q40" i="54"/>
  <c r="G3" i="50"/>
  <c r="Q12" i="54"/>
  <c r="Q20" i="54"/>
  <c r="J80" i="53"/>
  <c r="Q18" i="54"/>
  <c r="J14" i="53"/>
  <c r="Q48" i="54"/>
  <c r="Q4" i="54"/>
  <c r="G9" i="50"/>
  <c r="J112" i="53"/>
  <c r="G37" i="50"/>
  <c r="J92" i="53"/>
  <c r="G41" i="50"/>
  <c r="Q13" i="54"/>
  <c r="J150" i="53"/>
  <c r="Q24" i="54"/>
  <c r="G8" i="50"/>
  <c r="Q34" i="54"/>
  <c r="Q11" i="54"/>
  <c r="J3" i="53"/>
  <c r="Q50" i="54"/>
  <c r="Q10" i="54"/>
  <c r="J125" i="53"/>
  <c r="J11" i="53"/>
  <c r="Q16" i="54"/>
  <c r="J25" i="53"/>
  <c r="J136" i="53"/>
  <c r="J59" i="53"/>
  <c r="J52" i="53"/>
  <c r="J48" i="53"/>
  <c r="J119" i="53"/>
  <c r="Q30" i="54"/>
  <c r="J71" i="53"/>
  <c r="J151" i="53"/>
  <c r="J93" i="53"/>
  <c r="J83" i="53"/>
  <c r="Q45" i="54"/>
  <c r="J143" i="53"/>
  <c r="J33" i="53"/>
  <c r="G12" i="50"/>
  <c r="J86" i="53"/>
  <c r="J41" i="53"/>
  <c r="J133" i="53"/>
  <c r="J24" i="53"/>
  <c r="J88" i="53"/>
  <c r="J131" i="53"/>
  <c r="Q51" i="54"/>
  <c r="J68" i="53"/>
  <c r="Q27" i="54"/>
  <c r="J75" i="53"/>
  <c r="G29" i="50"/>
  <c r="J40" i="53"/>
  <c r="J137" i="53"/>
  <c r="G4" i="50"/>
  <c r="G40" i="50"/>
  <c r="J39" i="53"/>
  <c r="J91" i="53"/>
  <c r="H2" i="50" l="1"/>
  <c r="H20" i="50"/>
  <c r="H28" i="50"/>
  <c r="H36" i="50"/>
  <c r="H35" i="50"/>
  <c r="H24" i="50"/>
  <c r="H23" i="50"/>
  <c r="H29" i="50"/>
  <c r="H26" i="50"/>
  <c r="H38" i="50"/>
  <c r="H4" i="50"/>
  <c r="H13" i="50"/>
  <c r="H41" i="50"/>
  <c r="H40" i="50"/>
  <c r="H18" i="50"/>
  <c r="H19" i="50"/>
  <c r="H16" i="50"/>
  <c r="H11" i="50"/>
  <c r="H3" i="50"/>
  <c r="H27" i="50"/>
  <c r="H6" i="50"/>
  <c r="H5" i="50"/>
  <c r="H31" i="50"/>
  <c r="H30" i="50"/>
  <c r="H21" i="50"/>
  <c r="H25" i="50"/>
  <c r="H32" i="50"/>
  <c r="H8" i="50"/>
  <c r="H15" i="50"/>
  <c r="H34" i="50"/>
  <c r="H14" i="50"/>
  <c r="H39" i="50"/>
  <c r="H33" i="50"/>
  <c r="H37" i="50"/>
  <c r="H7" i="50"/>
  <c r="H17" i="50"/>
  <c r="H12" i="50"/>
  <c r="H22" i="50"/>
  <c r="H10" i="50"/>
  <c r="H9" i="50"/>
  <c r="Q9" i="50" l="1"/>
  <c r="Q30" i="50"/>
  <c r="Q29" i="50"/>
  <c r="Q23" i="50"/>
  <c r="Q37" i="50"/>
  <c r="Q16" i="50"/>
  <c r="Q15" i="50"/>
  <c r="Q21" i="50"/>
  <c r="Q10" i="50"/>
  <c r="Q31" i="50"/>
  <c r="Q39" i="50"/>
  <c r="Q13" i="50"/>
  <c r="Q25" i="50"/>
  <c r="Q22" i="50"/>
  <c r="Q5" i="50"/>
  <c r="Q24" i="50"/>
  <c r="Q12" i="50"/>
  <c r="Q6" i="50"/>
  <c r="Q35" i="50"/>
  <c r="Q17" i="50"/>
  <c r="Q27" i="50"/>
  <c r="Q36" i="50"/>
  <c r="Q7" i="50"/>
  <c r="Q28" i="50"/>
  <c r="Q11" i="50"/>
  <c r="Q20" i="50"/>
  <c r="Q2" i="50"/>
  <c r="Q19" i="50"/>
  <c r="Q8" i="50"/>
  <c r="Q38" i="50"/>
  <c r="Q3" i="50"/>
  <c r="Q33" i="50"/>
  <c r="Q41" i="50"/>
  <c r="Q4" i="50"/>
  <c r="Q14" i="50"/>
  <c r="Q18" i="50"/>
  <c r="Q34" i="50"/>
  <c r="Q40" i="50"/>
  <c r="Q32" i="50"/>
  <c r="Q26" i="50"/>
</calcChain>
</file>

<file path=xl/sharedStrings.xml><?xml version="1.0" encoding="utf-8"?>
<sst xmlns="http://schemas.openxmlformats.org/spreadsheetml/2006/main" count="5097" uniqueCount="4389">
  <si>
    <t>Johnas</t>
  </si>
  <si>
    <t>Mike</t>
  </si>
  <si>
    <t>Andrew</t>
  </si>
  <si>
    <t>Gordon</t>
  </si>
  <si>
    <t>Maynard</t>
  </si>
  <si>
    <t>Philippe</t>
  </si>
  <si>
    <t>Felipe</t>
  </si>
  <si>
    <t>Manny</t>
  </si>
  <si>
    <t>Francis</t>
  </si>
  <si>
    <t>Damon</t>
  </si>
  <si>
    <t>Bill</t>
  </si>
  <si>
    <t>Dick</t>
  </si>
  <si>
    <t>Graham</t>
  </si>
  <si>
    <t>Monroe</t>
  </si>
  <si>
    <t>Eric</t>
  </si>
  <si>
    <t>George</t>
  </si>
  <si>
    <t>Giorgio</t>
  </si>
  <si>
    <t>Jorge</t>
  </si>
  <si>
    <t>Ramsey</t>
  </si>
  <si>
    <t>Clark</t>
  </si>
  <si>
    <t>Donald</t>
  </si>
  <si>
    <t>Manuel</t>
  </si>
  <si>
    <t>Maxim</t>
  </si>
  <si>
    <t>Gus</t>
  </si>
  <si>
    <t>Oliver</t>
  </si>
  <si>
    <t>Stan</t>
  </si>
  <si>
    <t>Stanley</t>
  </si>
  <si>
    <t>Stephen</t>
  </si>
  <si>
    <t>Brian</t>
  </si>
  <si>
    <t>Xavier</t>
  </si>
  <si>
    <t>Daniel</t>
  </si>
  <si>
    <t>Maurice</t>
  </si>
  <si>
    <t>Orfeo</t>
  </si>
  <si>
    <t>Justin</t>
  </si>
  <si>
    <t>Rayan</t>
  </si>
  <si>
    <t>Richard</t>
  </si>
  <si>
    <t>Basil</t>
  </si>
  <si>
    <t>Cleanthe</t>
  </si>
  <si>
    <t>Aristide</t>
  </si>
  <si>
    <t>Nat</t>
  </si>
  <si>
    <t>Nate</t>
  </si>
  <si>
    <t>Nathaniel</t>
  </si>
  <si>
    <t>David</t>
  </si>
  <si>
    <t>Morgan</t>
  </si>
  <si>
    <t>Everett</t>
  </si>
  <si>
    <t>Lee</t>
  </si>
  <si>
    <t>Laurent</t>
  </si>
  <si>
    <t>Raul</t>
  </si>
  <si>
    <t>Benjamin</t>
  </si>
  <si>
    <t>Douglas</t>
  </si>
  <si>
    <t>Thomas</t>
  </si>
  <si>
    <t>Abe</t>
  </si>
  <si>
    <t>Wayne</t>
  </si>
  <si>
    <t>Gene</t>
  </si>
  <si>
    <t>Dash</t>
  </si>
  <si>
    <t>Bernie</t>
  </si>
  <si>
    <t>Ridley</t>
  </si>
  <si>
    <t>Frank</t>
  </si>
  <si>
    <t>Paul</t>
  </si>
  <si>
    <t>Peter</t>
  </si>
  <si>
    <t>Gino</t>
  </si>
  <si>
    <t>Angelo</t>
  </si>
  <si>
    <t>Theodore</t>
  </si>
  <si>
    <t>Philemon</t>
  </si>
  <si>
    <t>Zbig</t>
  </si>
  <si>
    <t>Zenon</t>
  </si>
  <si>
    <t>Christian</t>
  </si>
  <si>
    <t>Mallory</t>
  </si>
  <si>
    <t>Dashiel</t>
  </si>
  <si>
    <t>Moses</t>
  </si>
  <si>
    <t>James</t>
  </si>
  <si>
    <t>Achilles</t>
  </si>
  <si>
    <t>Filobedo</t>
  </si>
  <si>
    <t>Clarence</t>
  </si>
  <si>
    <t>Clemence</t>
  </si>
  <si>
    <t>Palmer</t>
  </si>
  <si>
    <t>Peo</t>
  </si>
  <si>
    <t>Tom</t>
  </si>
  <si>
    <t>Timothy</t>
  </si>
  <si>
    <t>Rick</t>
  </si>
  <si>
    <t>Martin</t>
  </si>
  <si>
    <t>Allen</t>
  </si>
  <si>
    <t>Kenneth</t>
  </si>
  <si>
    <t>Anthony</t>
  </si>
  <si>
    <t>Kurt</t>
  </si>
  <si>
    <t>Gerard</t>
  </si>
  <si>
    <t>Julian</t>
  </si>
  <si>
    <t>Greg</t>
  </si>
  <si>
    <t>Chris</t>
  </si>
  <si>
    <t>Nick</t>
  </si>
  <si>
    <t>Ivan</t>
  </si>
  <si>
    <t>Igor</t>
  </si>
  <si>
    <t>Bob</t>
  </si>
  <si>
    <t>Roberto</t>
  </si>
  <si>
    <t>Ron</t>
  </si>
  <si>
    <t>Ronaldo</t>
  </si>
  <si>
    <t>Jarvis</t>
  </si>
  <si>
    <t>Mel</t>
  </si>
  <si>
    <t>Jaimito</t>
  </si>
  <si>
    <t>Marle</t>
  </si>
  <si>
    <t>Sebastian</t>
  </si>
  <si>
    <t>Jeremy</t>
  </si>
  <si>
    <t>William</t>
  </si>
  <si>
    <t>Louis</t>
  </si>
  <si>
    <t>Adrian</t>
  </si>
  <si>
    <t>Ben</t>
  </si>
  <si>
    <t>Chandler</t>
  </si>
  <si>
    <t>Goran</t>
  </si>
  <si>
    <t>Norman</t>
  </si>
  <si>
    <t>Ramon</t>
  </si>
  <si>
    <t>Gerry</t>
  </si>
  <si>
    <t>Jerry</t>
  </si>
  <si>
    <t>Bernard</t>
  </si>
  <si>
    <t>Serge</t>
  </si>
  <si>
    <t>Kirk</t>
  </si>
  <si>
    <t>Tony</t>
  </si>
  <si>
    <t>Burt</t>
  </si>
  <si>
    <t>Artie</t>
  </si>
  <si>
    <t>Neil</t>
  </si>
  <si>
    <t>Aaron</t>
  </si>
  <si>
    <t>Henry</t>
  </si>
  <si>
    <t>Erol</t>
  </si>
  <si>
    <t>Claude</t>
  </si>
  <si>
    <t>Pepito</t>
  </si>
  <si>
    <t>Pedro</t>
  </si>
  <si>
    <t>Isaak</t>
  </si>
  <si>
    <t>Arnie</t>
  </si>
  <si>
    <t>Bruce</t>
  </si>
  <si>
    <t>Gilbert</t>
  </si>
  <si>
    <t>Harry</t>
  </si>
  <si>
    <t>Reiner</t>
  </si>
  <si>
    <t>Charles</t>
  </si>
  <si>
    <t>Chuck</t>
  </si>
  <si>
    <t>Alan</t>
  </si>
  <si>
    <t>Dale</t>
  </si>
  <si>
    <t>Chip</t>
  </si>
  <si>
    <t>Arnold</t>
  </si>
  <si>
    <t>Patrick</t>
  </si>
  <si>
    <t>Dwayne</t>
  </si>
  <si>
    <t>Ray</t>
  </si>
  <si>
    <t>Edward</t>
  </si>
  <si>
    <t>Eddie</t>
  </si>
  <si>
    <t>Tino</t>
  </si>
  <si>
    <t>Simon</t>
  </si>
  <si>
    <t>Barry</t>
  </si>
  <si>
    <t>Ezra</t>
  </si>
  <si>
    <t>Mark</t>
  </si>
  <si>
    <t>Hans</t>
  </si>
  <si>
    <t>Derek</t>
  </si>
  <si>
    <t>Egon</t>
  </si>
  <si>
    <t>Dean</t>
  </si>
  <si>
    <t>Friedrich</t>
  </si>
  <si>
    <t>Ludwig</t>
  </si>
  <si>
    <t>Earnest</t>
  </si>
  <si>
    <t>Max</t>
  </si>
  <si>
    <t>Gustaf</t>
  </si>
  <si>
    <t>Gustave</t>
  </si>
  <si>
    <t>Edvard</t>
  </si>
  <si>
    <t>Benoit</t>
  </si>
  <si>
    <t>Ilya</t>
  </si>
  <si>
    <t>Aydan</t>
  </si>
  <si>
    <t>Ceanu</t>
  </si>
  <si>
    <t>Ralf</t>
  </si>
  <si>
    <t>Marcel</t>
  </si>
  <si>
    <t>Valery</t>
  </si>
  <si>
    <t>Fidelio</t>
  </si>
  <si>
    <t>Frederic</t>
  </si>
  <si>
    <t>Fred</t>
  </si>
  <si>
    <t>Hector</t>
  </si>
  <si>
    <t>Ector</t>
  </si>
  <si>
    <t>Miles</t>
  </si>
  <si>
    <t>Tim</t>
  </si>
  <si>
    <t>Robert</t>
  </si>
  <si>
    <t>Rheinhardt</t>
  </si>
  <si>
    <t>Bernt</t>
  </si>
  <si>
    <t>Kareem</t>
  </si>
  <si>
    <t>Rudolf</t>
  </si>
  <si>
    <t>Rufus</t>
  </si>
  <si>
    <t>Abdullah</t>
  </si>
  <si>
    <t>Ari</t>
  </si>
  <si>
    <t>Ira</t>
  </si>
  <si>
    <t>Trevor</t>
  </si>
  <si>
    <t>Omar</t>
  </si>
  <si>
    <t>Leonard</t>
  </si>
  <si>
    <t>Leo</t>
  </si>
  <si>
    <t>Zbignew</t>
  </si>
  <si>
    <t>Vzevolod</t>
  </si>
  <si>
    <t>Leopold</t>
  </si>
  <si>
    <t>Istvan</t>
  </si>
  <si>
    <t>Pavel</t>
  </si>
  <si>
    <t>Miclos</t>
  </si>
  <si>
    <t>Benito</t>
  </si>
  <si>
    <t>Ianis</t>
  </si>
  <si>
    <t>Archie</t>
  </si>
  <si>
    <t>Archibald</t>
  </si>
  <si>
    <t>Lester</t>
  </si>
  <si>
    <t>Dennis</t>
  </si>
  <si>
    <t>Lasse</t>
  </si>
  <si>
    <t>Ulaf</t>
  </si>
  <si>
    <t>Bennie</t>
  </si>
  <si>
    <t>Benedict</t>
  </si>
  <si>
    <t>Franz</t>
  </si>
  <si>
    <t>Raymond</t>
  </si>
  <si>
    <t>Lucien</t>
  </si>
  <si>
    <t>Chico</t>
  </si>
  <si>
    <t>Heron</t>
  </si>
  <si>
    <t>Leander</t>
  </si>
  <si>
    <t>Menander</t>
  </si>
  <si>
    <t>Leigh</t>
  </si>
  <si>
    <t>Sylvester</t>
  </si>
  <si>
    <t>Devlin</t>
  </si>
  <si>
    <t>Ferdinand</t>
  </si>
  <si>
    <t>Ralph</t>
  </si>
  <si>
    <t>Placido</t>
  </si>
  <si>
    <t>Paco</t>
  </si>
  <si>
    <t>Percival</t>
  </si>
  <si>
    <t>Lancelot</t>
  </si>
  <si>
    <t>Eli</t>
  </si>
  <si>
    <t>Eliah</t>
  </si>
  <si>
    <t>Elias</t>
  </si>
  <si>
    <t>Tobias</t>
  </si>
  <si>
    <t>Amos</t>
  </si>
  <si>
    <t>Jonas</t>
  </si>
  <si>
    <t>Jason</t>
  </si>
  <si>
    <t>Jonathan</t>
  </si>
  <si>
    <t>Jon</t>
  </si>
  <si>
    <t>Jo</t>
  </si>
  <si>
    <t>Joe</t>
  </si>
  <si>
    <t>Dwight</t>
  </si>
  <si>
    <t>Curtis</t>
  </si>
  <si>
    <t>Ryan</t>
  </si>
  <si>
    <t>Gianni</t>
  </si>
  <si>
    <t>Lance</t>
  </si>
  <si>
    <t>Gary</t>
  </si>
  <si>
    <t>Gerahardt</t>
  </si>
  <si>
    <t>Kyle</t>
  </si>
  <si>
    <t>Pafnuti</t>
  </si>
  <si>
    <t>Neal</t>
  </si>
  <si>
    <t>Bjorn</t>
  </si>
  <si>
    <t>Rory</t>
  </si>
  <si>
    <t>Malachai</t>
  </si>
  <si>
    <t>Phil</t>
  </si>
  <si>
    <t>Pepe</t>
  </si>
  <si>
    <t>Abramson</t>
  </si>
  <si>
    <t>Adams</t>
  </si>
  <si>
    <t>Aho</t>
  </si>
  <si>
    <t>Akyurek</t>
  </si>
  <si>
    <t>Anderson</t>
  </si>
  <si>
    <t>Baldwin</t>
  </si>
  <si>
    <t>Barnes</t>
  </si>
  <si>
    <t>Batiste</t>
  </si>
  <si>
    <t>Beaton</t>
  </si>
  <si>
    <t>Bellinson</t>
  </si>
  <si>
    <t>Bernici</t>
  </si>
  <si>
    <t>Billings</t>
  </si>
  <si>
    <t>Binders</t>
  </si>
  <si>
    <t>Bohrs</t>
  </si>
  <si>
    <t>Bourne</t>
  </si>
  <si>
    <t>Brighton</t>
  </si>
  <si>
    <t>Brock</t>
  </si>
  <si>
    <t>Brown</t>
  </si>
  <si>
    <t>Burgess</t>
  </si>
  <si>
    <t>Burke</t>
  </si>
  <si>
    <t>Burnes</t>
  </si>
  <si>
    <t>Castrup</t>
  </si>
  <si>
    <t>Caynes</t>
  </si>
  <si>
    <t>Charanis</t>
  </si>
  <si>
    <t>Chiltern</t>
  </si>
  <si>
    <t>Clancy</t>
  </si>
  <si>
    <t>Clayton</t>
  </si>
  <si>
    <t>Cohen</t>
  </si>
  <si>
    <t>Cole</t>
  </si>
  <si>
    <t>Coreolano</t>
  </si>
  <si>
    <t>Croft</t>
  </si>
  <si>
    <t>Da Voglio</t>
  </si>
  <si>
    <t>Dawson</t>
  </si>
  <si>
    <t>De Agostini</t>
  </si>
  <si>
    <t>De Chirico</t>
  </si>
  <si>
    <t>De Nuncio</t>
  </si>
  <si>
    <t>Doe</t>
  </si>
  <si>
    <t>Duncan</t>
  </si>
  <si>
    <t>Edmonson</t>
  </si>
  <si>
    <t>Eldridge</t>
  </si>
  <si>
    <t>Emerice</t>
  </si>
  <si>
    <t>Emerson</t>
  </si>
  <si>
    <t>Ewing</t>
  </si>
  <si>
    <t>Falk</t>
  </si>
  <si>
    <t>Freeman</t>
  </si>
  <si>
    <t>Galilei</t>
  </si>
  <si>
    <t>Gardner</t>
  </si>
  <si>
    <t>Glitsky</t>
  </si>
  <si>
    <t>Gold</t>
  </si>
  <si>
    <t>Grant</t>
  </si>
  <si>
    <t>Green</t>
  </si>
  <si>
    <t>Hardy</t>
  </si>
  <si>
    <t>Hayworth</t>
  </si>
  <si>
    <t>Heidegger</t>
  </si>
  <si>
    <t>Henning</t>
  </si>
  <si>
    <t>Hodge</t>
  </si>
  <si>
    <t>Hopcroft</t>
  </si>
  <si>
    <t>Hopkins</t>
  </si>
  <si>
    <t>Incontro</t>
  </si>
  <si>
    <t>Jackman</t>
  </si>
  <si>
    <t>Jackson</t>
  </si>
  <si>
    <t>Jonason</t>
  </si>
  <si>
    <t>Kent</t>
  </si>
  <si>
    <t>Kernos</t>
  </si>
  <si>
    <t>Kollias</t>
  </si>
  <si>
    <t>Kozak</t>
  </si>
  <si>
    <t>Kruyf</t>
  </si>
  <si>
    <t>Laurel</t>
  </si>
  <si>
    <t>Malone</t>
  </si>
  <si>
    <t>Manakis</t>
  </si>
  <si>
    <t>Mancini</t>
  </si>
  <si>
    <t>Marturano</t>
  </si>
  <si>
    <t>Mathers</t>
  </si>
  <si>
    <t>Maulder</t>
  </si>
  <si>
    <t>Mc Dougal</t>
  </si>
  <si>
    <t>McGuyver</t>
  </si>
  <si>
    <t>Mcneil</t>
  </si>
  <si>
    <t>Mellon</t>
  </si>
  <si>
    <t>Merel</t>
  </si>
  <si>
    <t>Mestri</t>
  </si>
  <si>
    <t>Michaels</t>
  </si>
  <si>
    <t>Milic</t>
  </si>
  <si>
    <t>Miller</t>
  </si>
  <si>
    <t>Minford</t>
  </si>
  <si>
    <t>Monet</t>
  </si>
  <si>
    <t>Montague</t>
  </si>
  <si>
    <t>Montalban</t>
  </si>
  <si>
    <t>Morris</t>
  </si>
  <si>
    <t>Mullington</t>
  </si>
  <si>
    <t>Newton</t>
  </si>
  <si>
    <t>O'  Connor</t>
  </si>
  <si>
    <t>O' Neal</t>
  </si>
  <si>
    <t>Ogilvy</t>
  </si>
  <si>
    <t>Orioli</t>
  </si>
  <si>
    <t>Papas</t>
  </si>
  <si>
    <t>Parris</t>
  </si>
  <si>
    <t>Paulano</t>
  </si>
  <si>
    <t>Burroughs</t>
  </si>
  <si>
    <t>Drummond</t>
  </si>
  <si>
    <t>Otto</t>
  </si>
  <si>
    <t>Riggs</t>
  </si>
  <si>
    <t>Ingle</t>
  </si>
  <si>
    <t>Gibbs</t>
  </si>
  <si>
    <t>Owen</t>
  </si>
  <si>
    <t>Youngblood</t>
  </si>
  <si>
    <t>Woodward</t>
  </si>
  <si>
    <t>Belanger</t>
  </si>
  <si>
    <t>Elder</t>
  </si>
  <si>
    <t>Hearst</t>
  </si>
  <si>
    <t>Hurst</t>
  </si>
  <si>
    <t>Medina</t>
  </si>
  <si>
    <t>Larson</t>
  </si>
  <si>
    <t>Ericson</t>
  </si>
  <si>
    <t>Bridges</t>
  </si>
  <si>
    <t>Coates</t>
  </si>
  <si>
    <t>Duvall</t>
  </si>
  <si>
    <t>Sinclair</t>
  </si>
  <si>
    <t>Simone</t>
  </si>
  <si>
    <t>Silvers</t>
  </si>
  <si>
    <t>Rochelle</t>
  </si>
  <si>
    <t>Hunter</t>
  </si>
  <si>
    <t>Kimsey</t>
  </si>
  <si>
    <t>Carpenter</t>
  </si>
  <si>
    <t>Mason</t>
  </si>
  <si>
    <t>Fischer</t>
  </si>
  <si>
    <t>Demore</t>
  </si>
  <si>
    <t>Garner</t>
  </si>
  <si>
    <t>Currey</t>
  </si>
  <si>
    <t>Grand</t>
  </si>
  <si>
    <t>Marschall</t>
  </si>
  <si>
    <t>Machiels</t>
  </si>
  <si>
    <t>Spears</t>
  </si>
  <si>
    <t>Shields</t>
  </si>
  <si>
    <t>Eckstein</t>
  </si>
  <si>
    <t>Callahan</t>
  </si>
  <si>
    <t>Dutch</t>
  </si>
  <si>
    <t>Stone</t>
  </si>
  <si>
    <t>Quintana</t>
  </si>
  <si>
    <t>Landrieu</t>
  </si>
  <si>
    <t>Willard</t>
  </si>
  <si>
    <t>Popper</t>
  </si>
  <si>
    <t>Wittgenstein</t>
  </si>
  <si>
    <t>Locke</t>
  </si>
  <si>
    <t>DesCartes</t>
  </si>
  <si>
    <t>Greenspan</t>
  </si>
  <si>
    <t>Halliburton</t>
  </si>
  <si>
    <t>Berry</t>
  </si>
  <si>
    <t>Bloomberg</t>
  </si>
  <si>
    <t>Chippendale</t>
  </si>
  <si>
    <t>Montana</t>
  </si>
  <si>
    <t>Lockheed</t>
  </si>
  <si>
    <t>Chase</t>
  </si>
  <si>
    <t>Welsh</t>
  </si>
  <si>
    <t>Skilling</t>
  </si>
  <si>
    <t>Scully</t>
  </si>
  <si>
    <t>Pauley</t>
  </si>
  <si>
    <t>Kishel</t>
  </si>
  <si>
    <t>Holland</t>
  </si>
  <si>
    <t>Caprioli</t>
  </si>
  <si>
    <t>Corioli</t>
  </si>
  <si>
    <t>Fermi</t>
  </si>
  <si>
    <t>Dirac</t>
  </si>
  <si>
    <t>Gillet</t>
  </si>
  <si>
    <t>Guillet</t>
  </si>
  <si>
    <t>Keller</t>
  </si>
  <si>
    <t>Boyle</t>
  </si>
  <si>
    <t>Bernulli</t>
  </si>
  <si>
    <t>Dijkstra</t>
  </si>
  <si>
    <t>Stewart</t>
  </si>
  <si>
    <t>Sloan</t>
  </si>
  <si>
    <t>Kettering</t>
  </si>
  <si>
    <t>Bergman</t>
  </si>
  <si>
    <t>Berger</t>
  </si>
  <si>
    <t>Warhall</t>
  </si>
  <si>
    <t>Townsend</t>
  </si>
  <si>
    <t>Sawyer</t>
  </si>
  <si>
    <t>Rolling</t>
  </si>
  <si>
    <t>Beeson</t>
  </si>
  <si>
    <t>Dilbert</t>
  </si>
  <si>
    <t>Feely</t>
  </si>
  <si>
    <t>Mammet</t>
  </si>
  <si>
    <t>Forrester</t>
  </si>
  <si>
    <t>Pence</t>
  </si>
  <si>
    <t>Wakowski</t>
  </si>
  <si>
    <t>Hawking</t>
  </si>
  <si>
    <t>Hawkins</t>
  </si>
  <si>
    <t>Dawkins</t>
  </si>
  <si>
    <t>Cleveland</t>
  </si>
  <si>
    <t>Jefferson</t>
  </si>
  <si>
    <t>Washington</t>
  </si>
  <si>
    <t>Wilson</t>
  </si>
  <si>
    <t>Winslow</t>
  </si>
  <si>
    <t>Hamilton</t>
  </si>
  <si>
    <t>DeWine</t>
  </si>
  <si>
    <t>Tennet</t>
  </si>
  <si>
    <t>Caskill</t>
  </si>
  <si>
    <t>Wilford</t>
  </si>
  <si>
    <t>Witherspoon</t>
  </si>
  <si>
    <t>Pyne</t>
  </si>
  <si>
    <t>Lockhart</t>
  </si>
  <si>
    <t>Emerald</t>
  </si>
  <si>
    <t>Gallagher</t>
  </si>
  <si>
    <t>Kingsley</t>
  </si>
  <si>
    <t>Keats</t>
  </si>
  <si>
    <t>Yates</t>
  </si>
  <si>
    <t>Pound</t>
  </si>
  <si>
    <t>Bukovski</t>
  </si>
  <si>
    <t>Kowalski</t>
  </si>
  <si>
    <t>Payne</t>
  </si>
  <si>
    <t>Payton</t>
  </si>
  <si>
    <t>Elmsford</t>
  </si>
  <si>
    <t>Hepburn</t>
  </si>
  <si>
    <t>Eastman</t>
  </si>
  <si>
    <t>Shuttleworth</t>
  </si>
  <si>
    <t>Longworth</t>
  </si>
  <si>
    <t>Banach</t>
  </si>
  <si>
    <t>Hales</t>
  </si>
  <si>
    <t>Signori</t>
  </si>
  <si>
    <t>Webb</t>
  </si>
  <si>
    <t>Huygens</t>
  </si>
  <si>
    <t>Hubble</t>
  </si>
  <si>
    <t>Marceau</t>
  </si>
  <si>
    <t>Hahnemann</t>
  </si>
  <si>
    <t>Barket</t>
  </si>
  <si>
    <t>Lane</t>
  </si>
  <si>
    <t>Darkwood</t>
  </si>
  <si>
    <t>Carter</t>
  </si>
  <si>
    <t>Coe</t>
  </si>
  <si>
    <t>Pearce</t>
  </si>
  <si>
    <t>Pearson</t>
  </si>
  <si>
    <t>Perkins</t>
  </si>
  <si>
    <t>Peterson</t>
  </si>
  <si>
    <t>Phillips</t>
  </si>
  <si>
    <t>Pratt</t>
  </si>
  <si>
    <t>Rand</t>
  </si>
  <si>
    <t>Randall</t>
  </si>
  <si>
    <t>Rigby</t>
  </si>
  <si>
    <t>Rodin</t>
  </si>
  <si>
    <t>Rossi</t>
  </si>
  <si>
    <t>Rossini</t>
  </si>
  <si>
    <t>Rush</t>
  </si>
  <si>
    <t>Rutherford</t>
  </si>
  <si>
    <t>Scott</t>
  </si>
  <si>
    <t>Sforza</t>
  </si>
  <si>
    <t>Simmons</t>
  </si>
  <si>
    <t>Sjoblom</t>
  </si>
  <si>
    <t>Meier</t>
  </si>
  <si>
    <t>Stotlmeier</t>
  </si>
  <si>
    <t>Compton</t>
  </si>
  <si>
    <t>Stephens</t>
  </si>
  <si>
    <t>Foreman</t>
  </si>
  <si>
    <t>Fornett</t>
  </si>
  <si>
    <t>Higgins</t>
  </si>
  <si>
    <t>Swartz</t>
  </si>
  <si>
    <t>Schroeder</t>
  </si>
  <si>
    <t>Ricardo</t>
  </si>
  <si>
    <t>Robins</t>
  </si>
  <si>
    <t>Rubens</t>
  </si>
  <si>
    <t>Ayre</t>
  </si>
  <si>
    <t>Figueroa</t>
  </si>
  <si>
    <t>Farris</t>
  </si>
  <si>
    <t>Bunkers</t>
  </si>
  <si>
    <t>Banks</t>
  </si>
  <si>
    <t>Evangelista</t>
  </si>
  <si>
    <t>Heins</t>
  </si>
  <si>
    <t>Alberti</t>
  </si>
  <si>
    <t>Como</t>
  </si>
  <si>
    <t>Lake</t>
  </si>
  <si>
    <t>Lloyd</t>
  </si>
  <si>
    <t>Mulholland</t>
  </si>
  <si>
    <t>Mullihan</t>
  </si>
  <si>
    <t>Mulligan</t>
  </si>
  <si>
    <t>Fitzpatrick</t>
  </si>
  <si>
    <t>Fitzgerald</t>
  </si>
  <si>
    <t>Carmichael</t>
  </si>
  <si>
    <t>Oaklie</t>
  </si>
  <si>
    <t>Jarmush</t>
  </si>
  <si>
    <t>Smith</t>
  </si>
  <si>
    <t>Spader</t>
  </si>
  <si>
    <t>Spades</t>
  </si>
  <si>
    <t>Spencer</t>
  </si>
  <si>
    <t>Spertos</t>
  </si>
  <si>
    <t>Spielberg</t>
  </si>
  <si>
    <t>McBeal</t>
  </si>
  <si>
    <t>Flynn</t>
  </si>
  <si>
    <t>Jilcrhist</t>
  </si>
  <si>
    <t>Zeke</t>
  </si>
  <si>
    <t>Zachary</t>
  </si>
  <si>
    <t>Webster</t>
  </si>
  <si>
    <t>Collins</t>
  </si>
  <si>
    <t>Auldrin</t>
  </si>
  <si>
    <t>Armstrong</t>
  </si>
  <si>
    <t>Spock</t>
  </si>
  <si>
    <t>Durban</t>
  </si>
  <si>
    <t>Durham</t>
  </si>
  <si>
    <t>Ciros</t>
  </si>
  <si>
    <t>Cebalos</t>
  </si>
  <si>
    <t>Dobbs</t>
  </si>
  <si>
    <t>Chisum</t>
  </si>
  <si>
    <t>Bitchum</t>
  </si>
  <si>
    <t>McAlister</t>
  </si>
  <si>
    <t>Maguire</t>
  </si>
  <si>
    <t>Upton</t>
  </si>
  <si>
    <t>Templeton</t>
  </si>
  <si>
    <t>Benett</t>
  </si>
  <si>
    <t>Beneton</t>
  </si>
  <si>
    <t>Stein</t>
  </si>
  <si>
    <t>Stevens</t>
  </si>
  <si>
    <t>Stieglitz</t>
  </si>
  <si>
    <t>Stockton</t>
  </si>
  <si>
    <t>Straut</t>
  </si>
  <si>
    <t>Stroustrup</t>
  </si>
  <si>
    <t>Sutherland</t>
  </si>
  <si>
    <t>Tomlinson</t>
  </si>
  <si>
    <t>Ullman</t>
  </si>
  <si>
    <t>Umlas</t>
  </si>
  <si>
    <t>Versace</t>
  </si>
  <si>
    <t>Von Neumann</t>
  </si>
  <si>
    <t>Wager</t>
  </si>
  <si>
    <t>Wainwright</t>
  </si>
  <si>
    <t>Walls</t>
  </si>
  <si>
    <t>West</t>
  </si>
  <si>
    <t>Wilkins</t>
  </si>
  <si>
    <t>Willis</t>
  </si>
  <si>
    <t>Wisser</t>
  </si>
  <si>
    <t>Worthy</t>
  </si>
  <si>
    <t>Fairweather</t>
  </si>
  <si>
    <t>Ames</t>
  </si>
  <si>
    <t>McCullough</t>
  </si>
  <si>
    <t>Jaffe</t>
  </si>
  <si>
    <t>Reed</t>
  </si>
  <si>
    <t>Ross</t>
  </si>
  <si>
    <t>Cummings</t>
  </si>
  <si>
    <t>Geller</t>
  </si>
  <si>
    <t>Briggs</t>
  </si>
  <si>
    <t>Alvares</t>
  </si>
  <si>
    <t>Bernier</t>
  </si>
  <si>
    <t>Werner</t>
  </si>
  <si>
    <t>Shilton</t>
  </si>
  <si>
    <t>Chilton</t>
  </si>
  <si>
    <t>Rousseau</t>
  </si>
  <si>
    <t>Thoreau</t>
  </si>
  <si>
    <t>Wilcock</t>
  </si>
  <si>
    <t>Peacock</t>
  </si>
  <si>
    <t>Clarke</t>
  </si>
  <si>
    <t>Gigerenzer</t>
  </si>
  <si>
    <t>Choate</t>
  </si>
  <si>
    <t>Poe</t>
  </si>
  <si>
    <t>Honeywell</t>
  </si>
  <si>
    <t>Schultz</t>
  </si>
  <si>
    <t>Riemann</t>
  </si>
  <si>
    <t>Fukuoka</t>
  </si>
  <si>
    <t>Frey</t>
  </si>
  <si>
    <t>White</t>
  </si>
  <si>
    <t>Marymount</t>
  </si>
  <si>
    <t>Mitchel</t>
  </si>
  <si>
    <t>Cauchy</t>
  </si>
  <si>
    <t>Schwartz</t>
  </si>
  <si>
    <t>Hart</t>
  </si>
  <si>
    <t>Bloom</t>
  </si>
  <si>
    <t>Bloomingdale</t>
  </si>
  <si>
    <t>Sachs</t>
  </si>
  <si>
    <t>Goldman</t>
  </si>
  <si>
    <t>Salomon</t>
  </si>
  <si>
    <t>Shapiro</t>
  </si>
  <si>
    <t>Messi</t>
  </si>
  <si>
    <t>Oppenheim</t>
  </si>
  <si>
    <t>Oppenheimer</t>
  </si>
  <si>
    <t>Gertheim</t>
  </si>
  <si>
    <t>Houston</t>
  </si>
  <si>
    <t>Fassbinder</t>
  </si>
  <si>
    <t>Cubrik</t>
  </si>
  <si>
    <t>Gallo</t>
  </si>
  <si>
    <t>McCormick</t>
  </si>
  <si>
    <t>Hollander</t>
  </si>
  <si>
    <t>Wolf</t>
  </si>
  <si>
    <t>Wolfe</t>
  </si>
  <si>
    <t>Wolfgang</t>
  </si>
  <si>
    <t>Hofstadter</t>
  </si>
  <si>
    <t>Rubic</t>
  </si>
  <si>
    <t>Gardener</t>
  </si>
  <si>
    <t>Drexler</t>
  </si>
  <si>
    <t>Drexel</t>
  </si>
  <si>
    <t>Donahue</t>
  </si>
  <si>
    <t>Donovan</t>
  </si>
  <si>
    <t>Belushi</t>
  </si>
  <si>
    <t>Belucci</t>
  </si>
  <si>
    <t>Irons</t>
  </si>
  <si>
    <t>Ernst</t>
  </si>
  <si>
    <t>Klimt</t>
  </si>
  <si>
    <t>Hapsburg</t>
  </si>
  <si>
    <t>Kronenburg</t>
  </si>
  <si>
    <t>Matisse</t>
  </si>
  <si>
    <t>Picasso</t>
  </si>
  <si>
    <t>Rembrandt</t>
  </si>
  <si>
    <t>Munch</t>
  </si>
  <si>
    <t>Mandelbrot</t>
  </si>
  <si>
    <t>Prigogine</t>
  </si>
  <si>
    <t>Misrah</t>
  </si>
  <si>
    <t>Misirlis</t>
  </si>
  <si>
    <t>Milindria</t>
  </si>
  <si>
    <t>Quinn</t>
  </si>
  <si>
    <t>Reeves</t>
  </si>
  <si>
    <t>Raver</t>
  </si>
  <si>
    <t>Nader</t>
  </si>
  <si>
    <t>McCartney</t>
  </si>
  <si>
    <t>Harrison</t>
  </si>
  <si>
    <t>Ford</t>
  </si>
  <si>
    <t>Porsche</t>
  </si>
  <si>
    <t>Opel</t>
  </si>
  <si>
    <t>Vauxhall</t>
  </si>
  <si>
    <t>Cheltenham</t>
  </si>
  <si>
    <t>Wales</t>
  </si>
  <si>
    <t>Rosenkrantz</t>
  </si>
  <si>
    <t>Guilderstern</t>
  </si>
  <si>
    <t>Proust</t>
  </si>
  <si>
    <t>Bovary</t>
  </si>
  <si>
    <t>Standhal</t>
  </si>
  <si>
    <t>Churchill</t>
  </si>
  <si>
    <t>Templar</t>
  </si>
  <si>
    <t>Raab</t>
  </si>
  <si>
    <t>Robbins</t>
  </si>
  <si>
    <t>Roydon</t>
  </si>
  <si>
    <t>Carver</t>
  </si>
  <si>
    <t>Scarver</t>
  </si>
  <si>
    <t>McMann</t>
  </si>
  <si>
    <t>Rooney</t>
  </si>
  <si>
    <t>Jabbar</t>
  </si>
  <si>
    <t>Lewis</t>
  </si>
  <si>
    <t>Levinson</t>
  </si>
  <si>
    <t>Rockefeller</t>
  </si>
  <si>
    <t>Starr</t>
  </si>
  <si>
    <t>Bing</t>
  </si>
  <si>
    <t>Sommer</t>
  </si>
  <si>
    <t>Maniani</t>
  </si>
  <si>
    <t>Silverstone</t>
  </si>
  <si>
    <t>Silberschatz</t>
  </si>
  <si>
    <t>Sonnenfeld</t>
  </si>
  <si>
    <t>Feldenkreis</t>
  </si>
  <si>
    <t>Upledger</t>
  </si>
  <si>
    <t>Cooper</t>
  </si>
  <si>
    <t>Caper</t>
  </si>
  <si>
    <t>Collinsworth</t>
  </si>
  <si>
    <t>House</t>
  </si>
  <si>
    <t>Epps</t>
  </si>
  <si>
    <t>Leonards</t>
  </si>
  <si>
    <t>Cheney</t>
  </si>
  <si>
    <t>Brzezinski</t>
  </si>
  <si>
    <t>Ostranski</t>
  </si>
  <si>
    <t>Olziersky</t>
  </si>
  <si>
    <t>Sarkozy</t>
  </si>
  <si>
    <t>Szabo</t>
  </si>
  <si>
    <t>Halmos</t>
  </si>
  <si>
    <t>Taniyama</t>
  </si>
  <si>
    <t>Lang</t>
  </si>
  <si>
    <t>Guinsburg</t>
  </si>
  <si>
    <t>Bukowski</t>
  </si>
  <si>
    <t>Bismarck</t>
  </si>
  <si>
    <t>Orange</t>
  </si>
  <si>
    <t>Bentley</t>
  </si>
  <si>
    <t>Cummins</t>
  </si>
  <si>
    <t>Bethel</t>
  </si>
  <si>
    <t>Rosenberg</t>
  </si>
  <si>
    <t>Rosenfeld</t>
  </si>
  <si>
    <t>Pineiro</t>
  </si>
  <si>
    <t>Soarez</t>
  </si>
  <si>
    <t>Gonzalez</t>
  </si>
  <si>
    <t>Nguyen</t>
  </si>
  <si>
    <t>Silverado</t>
  </si>
  <si>
    <t>Pavlov</t>
  </si>
  <si>
    <t>Chernenko</t>
  </si>
  <si>
    <t>Suslov</t>
  </si>
  <si>
    <t>Forman</t>
  </si>
  <si>
    <t>Benitez</t>
  </si>
  <si>
    <t>Benini</t>
  </si>
  <si>
    <t>Puccini</t>
  </si>
  <si>
    <t>Wagner</t>
  </si>
  <si>
    <t>Stockhausen</t>
  </si>
  <si>
    <t>Xenakis</t>
  </si>
  <si>
    <t>Dribler</t>
  </si>
  <si>
    <t>Donkel</t>
  </si>
  <si>
    <t>Lecter</t>
  </si>
  <si>
    <t>Leicester</t>
  </si>
  <si>
    <t>Brewster</t>
  </si>
  <si>
    <t>Munster</t>
  </si>
  <si>
    <t>Hilbert</t>
  </si>
  <si>
    <t>Halbert</t>
  </si>
  <si>
    <t>Billington</t>
  </si>
  <si>
    <t>Pickerton</t>
  </si>
  <si>
    <t>Parkinson</t>
  </si>
  <si>
    <t>Denison</t>
  </si>
  <si>
    <t>Reichstag</t>
  </si>
  <si>
    <t>Larsen</t>
  </si>
  <si>
    <t>Viren</t>
  </si>
  <si>
    <t>Palme</t>
  </si>
  <si>
    <t>Dover</t>
  </si>
  <si>
    <t>Highlander</t>
  </si>
  <si>
    <t>Chopin</t>
  </si>
  <si>
    <t>Liszt</t>
  </si>
  <si>
    <t>Hammet</t>
  </si>
  <si>
    <t>Luciano</t>
  </si>
  <si>
    <t>Pavaroti</t>
  </si>
  <si>
    <t>Caruso</t>
  </si>
  <si>
    <t>Towers</t>
  </si>
  <si>
    <t>Tedescho</t>
  </si>
  <si>
    <t>Franklin</t>
  </si>
  <si>
    <t>Brookline</t>
  </si>
  <si>
    <t>Fernandez</t>
  </si>
  <si>
    <t>Chong</t>
  </si>
  <si>
    <t>Cheech</t>
  </si>
  <si>
    <t>Putnam</t>
  </si>
  <si>
    <t>Putney</t>
  </si>
  <si>
    <t>Pericoloso</t>
  </si>
  <si>
    <t>Pernici</t>
  </si>
  <si>
    <t>Cavalli</t>
  </si>
  <si>
    <t>Bolton</t>
  </si>
  <si>
    <t>Belis</t>
  </si>
  <si>
    <t>Galis</t>
  </si>
  <si>
    <t>Lehman</t>
  </si>
  <si>
    <t>Leeman</t>
  </si>
  <si>
    <t>Schneider</t>
  </si>
  <si>
    <t>Snickerton</t>
  </si>
  <si>
    <t>Bayes</t>
  </si>
  <si>
    <t>Markov</t>
  </si>
  <si>
    <t>Pareto</t>
  </si>
  <si>
    <t>Guggenheim</t>
  </si>
  <si>
    <t>Cathcart</t>
  </si>
  <si>
    <t>Shimura</t>
  </si>
  <si>
    <t>Weil</t>
  </si>
  <si>
    <t>Veil</t>
  </si>
  <si>
    <t>Wiles</t>
  </si>
  <si>
    <t>Burbaki</t>
  </si>
  <si>
    <t>Higgs</t>
  </si>
  <si>
    <t>Montagna</t>
  </si>
  <si>
    <t>Capuletti</t>
  </si>
  <si>
    <t>Martinet</t>
  </si>
  <si>
    <t>Thompson</t>
  </si>
  <si>
    <t>Thomson</t>
  </si>
  <si>
    <t>Barber</t>
  </si>
  <si>
    <t>Grauer</t>
  </si>
  <si>
    <t>Gerber</t>
  </si>
  <si>
    <t>Kirchener</t>
  </si>
  <si>
    <t>Kostner</t>
  </si>
  <si>
    <t>McBeth</t>
  </si>
  <si>
    <t>McGowan</t>
  </si>
  <si>
    <t>Maclaren</t>
  </si>
  <si>
    <t>Renault</t>
  </si>
  <si>
    <t>Peugeot</t>
  </si>
  <si>
    <t>Binder</t>
  </si>
  <si>
    <t>Bennet</t>
  </si>
  <si>
    <t>Dominico</t>
  </si>
  <si>
    <t>Camelot</t>
  </si>
  <si>
    <t>Cruise</t>
  </si>
  <si>
    <t>Bennigan</t>
  </si>
  <si>
    <t>McClintock</t>
  </si>
  <si>
    <t>Beckham</t>
  </si>
  <si>
    <t>Consiglio</t>
  </si>
  <si>
    <t>Cartwright</t>
  </si>
  <si>
    <t>Wright</t>
  </si>
  <si>
    <t>Rowlands</t>
  </si>
  <si>
    <t>Rossberger</t>
  </si>
  <si>
    <t>Kilmer</t>
  </si>
  <si>
    <t>Spoletti</t>
  </si>
  <si>
    <t>Gustavson</t>
  </si>
  <si>
    <t>Berensohn</t>
  </si>
  <si>
    <t>Bahrens</t>
  </si>
  <si>
    <t>Magellan</t>
  </si>
  <si>
    <t>Kaynes</t>
  </si>
  <si>
    <t>Baines</t>
  </si>
  <si>
    <t>Colmer</t>
  </si>
  <si>
    <t>Chiappe</t>
  </si>
  <si>
    <t>Ciano</t>
  </si>
  <si>
    <t>Keegan</t>
  </si>
  <si>
    <t>Reagan</t>
  </si>
  <si>
    <t>Regan</t>
  </si>
  <si>
    <t>Lincoln</t>
  </si>
  <si>
    <t>Lanceberger</t>
  </si>
  <si>
    <t>Samson</t>
  </si>
  <si>
    <t>Simpson</t>
  </si>
  <si>
    <t>Kasparov</t>
  </si>
  <si>
    <t>Lindemann</t>
  </si>
  <si>
    <t>Linden</t>
  </si>
  <si>
    <t>Guiles</t>
  </si>
  <si>
    <t>Hargitay</t>
  </si>
  <si>
    <t>Belzer</t>
  </si>
  <si>
    <t>Hertz</t>
  </si>
  <si>
    <t>Herzog</t>
  </si>
  <si>
    <t>McNamara</t>
  </si>
  <si>
    <t>Campanella</t>
  </si>
  <si>
    <t>Aarhus</t>
  </si>
  <si>
    <t>Noble</t>
  </si>
  <si>
    <t>Neville</t>
  </si>
  <si>
    <t>Mortimer</t>
  </si>
  <si>
    <t>Sikorski</t>
  </si>
  <si>
    <t>Stabler</t>
  </si>
  <si>
    <t>Toveney</t>
  </si>
  <si>
    <t>Wetherby</t>
  </si>
  <si>
    <t>Carnaby</t>
  </si>
  <si>
    <t>Chisholm</t>
  </si>
  <si>
    <t>Stapleton</t>
  </si>
  <si>
    <t>Morrison</t>
  </si>
  <si>
    <t>Manzanera</t>
  </si>
  <si>
    <t>Byrne</t>
  </si>
  <si>
    <t>Eno</t>
  </si>
  <si>
    <t>Zappa</t>
  </si>
  <si>
    <t>Floyd</t>
  </si>
  <si>
    <t>Crocket</t>
  </si>
  <si>
    <t>Rickette</t>
  </si>
  <si>
    <t>Bolzano</t>
  </si>
  <si>
    <t>Bernuille</t>
  </si>
  <si>
    <t>Bataille</t>
  </si>
  <si>
    <t>Milner</t>
  </si>
  <si>
    <t>Jonasson</t>
  </si>
  <si>
    <t>Albus</t>
  </si>
  <si>
    <t>Mikasa</t>
  </si>
  <si>
    <t>Mikado</t>
  </si>
  <si>
    <t>Panucci</t>
  </si>
  <si>
    <t>Gucci</t>
  </si>
  <si>
    <t>Metcalfe</t>
  </si>
  <si>
    <t>Mary</t>
  </si>
  <si>
    <t>Debbie</t>
  </si>
  <si>
    <t>Anne</t>
  </si>
  <si>
    <t>Isabelle</t>
  </si>
  <si>
    <t>Domenique</t>
  </si>
  <si>
    <t>Stephanie</t>
  </si>
  <si>
    <t>Lisa</t>
  </si>
  <si>
    <t>Beth</t>
  </si>
  <si>
    <t>Bethany</t>
  </si>
  <si>
    <t>Euridice</t>
  </si>
  <si>
    <t>Juliette</t>
  </si>
  <si>
    <t>Justine</t>
  </si>
  <si>
    <t>Rhonda</t>
  </si>
  <si>
    <t>Jessie</t>
  </si>
  <si>
    <t>Priscilla</t>
  </si>
  <si>
    <t>Kiki</t>
  </si>
  <si>
    <t>Mimi</t>
  </si>
  <si>
    <t>Francisca</t>
  </si>
  <si>
    <t>Sandra</t>
  </si>
  <si>
    <t>Kelly</t>
  </si>
  <si>
    <t>Gill</t>
  </si>
  <si>
    <t>Jillian</t>
  </si>
  <si>
    <t>Verenice</t>
  </si>
  <si>
    <t>Lana</t>
  </si>
  <si>
    <t>Lara</t>
  </si>
  <si>
    <t>Minnie</t>
  </si>
  <si>
    <t>Daisy</t>
  </si>
  <si>
    <t>Clara</t>
  </si>
  <si>
    <t>Claris</t>
  </si>
  <si>
    <t>Libby</t>
  </si>
  <si>
    <t>Connie</t>
  </si>
  <si>
    <t>Daniela</t>
  </si>
  <si>
    <t>Mirela</t>
  </si>
  <si>
    <t>Nancy</t>
  </si>
  <si>
    <t>Bela</t>
  </si>
  <si>
    <t>Margaret</t>
  </si>
  <si>
    <t>Eloise</t>
  </si>
  <si>
    <t>Beneditta</t>
  </si>
  <si>
    <t>Alexandra</t>
  </si>
  <si>
    <t>Sasha</t>
  </si>
  <si>
    <t>Natasha</t>
  </si>
  <si>
    <t>Milly</t>
  </si>
  <si>
    <t>Alexis</t>
  </si>
  <si>
    <t>Stacie</t>
  </si>
  <si>
    <t>Anastasia</t>
  </si>
  <si>
    <t>Melina</t>
  </si>
  <si>
    <t>Melinda</t>
  </si>
  <si>
    <t>Joyce</t>
  </si>
  <si>
    <t>Carmen</t>
  </si>
  <si>
    <t>Electra</t>
  </si>
  <si>
    <t>Irene</t>
  </si>
  <si>
    <t>Katie</t>
  </si>
  <si>
    <t>Elaine</t>
  </si>
  <si>
    <t>Eleanor</t>
  </si>
  <si>
    <t>Sharon</t>
  </si>
  <si>
    <t>Shannon</t>
  </si>
  <si>
    <t>Sue</t>
  </si>
  <si>
    <t>Monique</t>
  </si>
  <si>
    <t>Isadora</t>
  </si>
  <si>
    <t>Gillian</t>
  </si>
  <si>
    <t>Rita</t>
  </si>
  <si>
    <t>Candace</t>
  </si>
  <si>
    <t>Tracie</t>
  </si>
  <si>
    <t>Ginny</t>
  </si>
  <si>
    <t>Laura</t>
  </si>
  <si>
    <t>Susie</t>
  </si>
  <si>
    <t>Tori</t>
  </si>
  <si>
    <t>Kendra</t>
  </si>
  <si>
    <t>Renee</t>
  </si>
  <si>
    <t>Kathleen</t>
  </si>
  <si>
    <t>Christina</t>
  </si>
  <si>
    <t>Amber</t>
  </si>
  <si>
    <t>Dolphine</t>
  </si>
  <si>
    <t>Sophie</t>
  </si>
  <si>
    <t>Ashley</t>
  </si>
  <si>
    <t>Carina</t>
  </si>
  <si>
    <t>Maureen</t>
  </si>
  <si>
    <t>Filomena</t>
  </si>
  <si>
    <t>Jennie</t>
  </si>
  <si>
    <t>Jeanie</t>
  </si>
  <si>
    <t>Philippa</t>
  </si>
  <si>
    <t>Bianca</t>
  </si>
  <si>
    <t>Antonia</t>
  </si>
  <si>
    <t>Rosaleen</t>
  </si>
  <si>
    <t>Rosa</t>
  </si>
  <si>
    <t>Samantha</t>
  </si>
  <si>
    <t>Ella</t>
  </si>
  <si>
    <t>Rinette</t>
  </si>
  <si>
    <t>Claudia</t>
  </si>
  <si>
    <t>Judy</t>
  </si>
  <si>
    <t>Kara</t>
  </si>
  <si>
    <t>Paula</t>
  </si>
  <si>
    <t>Kim</t>
  </si>
  <si>
    <t>Dominique</t>
  </si>
  <si>
    <t>Angelique</t>
  </si>
  <si>
    <t>Angela</t>
  </si>
  <si>
    <t>Coleen</t>
  </si>
  <si>
    <t>Louise</t>
  </si>
  <si>
    <t>Alice</t>
  </si>
  <si>
    <t>Melissa</t>
  </si>
  <si>
    <t>Billie</t>
  </si>
  <si>
    <t>Alie</t>
  </si>
  <si>
    <t>Pattie</t>
  </si>
  <si>
    <t>Pam</t>
  </si>
  <si>
    <t>Pamela</t>
  </si>
  <si>
    <t>Patricia</t>
  </si>
  <si>
    <t>Trice</t>
  </si>
  <si>
    <t>Lexi</t>
  </si>
  <si>
    <t>Molly</t>
  </si>
  <si>
    <t>Courtney</t>
  </si>
  <si>
    <t>Sabrina</t>
  </si>
  <si>
    <t>Brooke</t>
  </si>
  <si>
    <t>Julie</t>
  </si>
  <si>
    <t>Poly</t>
  </si>
  <si>
    <t>Polyanne</t>
  </si>
  <si>
    <t>Amie</t>
  </si>
  <si>
    <t>Maya</t>
  </si>
  <si>
    <t>Faye</t>
  </si>
  <si>
    <t>Valerie</t>
  </si>
  <si>
    <t>Mia</t>
  </si>
  <si>
    <t>Paige</t>
  </si>
  <si>
    <t>Cara</t>
  </si>
  <si>
    <t>Austin</t>
  </si>
  <si>
    <t>Emma</t>
  </si>
  <si>
    <t>Danielle</t>
  </si>
  <si>
    <t>Della</t>
  </si>
  <si>
    <t>LeeAnne</t>
  </si>
  <si>
    <t>Whitney</t>
  </si>
  <si>
    <t>Kaye</t>
  </si>
  <si>
    <t>Brianna</t>
  </si>
  <si>
    <t>Mandy</t>
  </si>
  <si>
    <t>Collette</t>
  </si>
  <si>
    <t>Mae</t>
  </si>
  <si>
    <t>Bridget</t>
  </si>
  <si>
    <t>Megan</t>
  </si>
  <si>
    <t>Rachel</t>
  </si>
  <si>
    <t>Rebecca</t>
  </si>
  <si>
    <t>Becca</t>
  </si>
  <si>
    <t>Erica</t>
  </si>
  <si>
    <t>Victoria</t>
  </si>
  <si>
    <t>Hayley</t>
  </si>
  <si>
    <t>Brittany</t>
  </si>
  <si>
    <t>Cassandra</t>
  </si>
  <si>
    <t>Trinian</t>
  </si>
  <si>
    <t>Grace</t>
  </si>
  <si>
    <t>Darlene</t>
  </si>
  <si>
    <t>Sally</t>
  </si>
  <si>
    <t>Sallie</t>
  </si>
  <si>
    <t>Lois</t>
  </si>
  <si>
    <t>Milena</t>
  </si>
  <si>
    <t>Vickie</t>
  </si>
  <si>
    <t>Vanessa</t>
  </si>
  <si>
    <t>Evangeline</t>
  </si>
  <si>
    <t>Charlotte</t>
  </si>
  <si>
    <t>Emily</t>
  </si>
  <si>
    <t>Millie</t>
  </si>
  <si>
    <t>Jane</t>
  </si>
  <si>
    <t>Jenny</t>
  </si>
  <si>
    <t>Miranda</t>
  </si>
  <si>
    <t>Gail</t>
  </si>
  <si>
    <t>Nina</t>
  </si>
  <si>
    <t>Tina</t>
  </si>
  <si>
    <t>Rosalie</t>
  </si>
  <si>
    <t>Selena</t>
  </si>
  <si>
    <t>Eva</t>
  </si>
  <si>
    <t>Eve</t>
  </si>
  <si>
    <t>Carla</t>
  </si>
  <si>
    <t>Kirstgen</t>
  </si>
  <si>
    <t>Piper</t>
  </si>
  <si>
    <t>Heather</t>
  </si>
  <si>
    <t>Cassie</t>
  </si>
  <si>
    <t>Diane</t>
  </si>
  <si>
    <t>Renata</t>
  </si>
  <si>
    <t>Gwen</t>
  </si>
  <si>
    <t>Hailey</t>
  </si>
  <si>
    <t>Lili</t>
  </si>
  <si>
    <t>Harriet</t>
  </si>
  <si>
    <t>Gerta</t>
  </si>
  <si>
    <t>Cynthia</t>
  </si>
  <si>
    <t>Cindy</t>
  </si>
  <si>
    <t>Halle</t>
  </si>
  <si>
    <t>Amelia</t>
  </si>
  <si>
    <t>Amalia</t>
  </si>
  <si>
    <t>Georgina</t>
  </si>
  <si>
    <t>Andrea</t>
  </si>
  <si>
    <t>Nicole</t>
  </si>
  <si>
    <t>Pauline</t>
  </si>
  <si>
    <t>Jasmine</t>
  </si>
  <si>
    <t>Marilyn</t>
  </si>
  <si>
    <t>Gina</t>
  </si>
  <si>
    <t>Mina</t>
  </si>
  <si>
    <t>Lina</t>
  </si>
  <si>
    <t>Lylah</t>
  </si>
  <si>
    <t>Trina</t>
  </si>
  <si>
    <t>Audrey</t>
  </si>
  <si>
    <t>Sarah</t>
  </si>
  <si>
    <t>Celeste</t>
  </si>
  <si>
    <t>Rayna</t>
  </si>
  <si>
    <t>Rania</t>
  </si>
  <si>
    <t>Greta</t>
  </si>
  <si>
    <t>Penny</t>
  </si>
  <si>
    <t>Chantal</t>
  </si>
  <si>
    <t>Natalie</t>
  </si>
  <si>
    <t>Lori</t>
  </si>
  <si>
    <t>Frieda</t>
  </si>
  <si>
    <t>Lilian</t>
  </si>
  <si>
    <t>Lilianne</t>
  </si>
  <si>
    <t>Dimitra</t>
  </si>
  <si>
    <t>Ava</t>
  </si>
  <si>
    <t>Lauren</t>
  </si>
  <si>
    <t>Linda</t>
  </si>
  <si>
    <t>Mercedes</t>
  </si>
  <si>
    <t>Fran</t>
  </si>
  <si>
    <t>Frankie</t>
  </si>
  <si>
    <t>Lucille</t>
  </si>
  <si>
    <t>Lucy</t>
  </si>
  <si>
    <t>Lucretia</t>
  </si>
  <si>
    <t>Ophelia</t>
  </si>
  <si>
    <t>Ismene</t>
  </si>
  <si>
    <t>Antigone</t>
  </si>
  <si>
    <t>Ekave</t>
  </si>
  <si>
    <t>Barbara</t>
  </si>
  <si>
    <t>Barb</t>
  </si>
  <si>
    <t>Ortance</t>
  </si>
  <si>
    <t>Solange</t>
  </si>
  <si>
    <t>Ariel</t>
  </si>
  <si>
    <t>Binkie</t>
  </si>
  <si>
    <t>Inghe</t>
  </si>
  <si>
    <t>Imke</t>
  </si>
  <si>
    <t>Elke</t>
  </si>
  <si>
    <t>Dahlia</t>
  </si>
  <si>
    <t>Estrella</t>
  </si>
  <si>
    <t>Consuela</t>
  </si>
  <si>
    <t>Pistis</t>
  </si>
  <si>
    <t>Ethel</t>
  </si>
  <si>
    <t>Chryssa</t>
  </si>
  <si>
    <t>Alyssa</t>
  </si>
  <si>
    <t>Astarte</t>
  </si>
  <si>
    <t>Kirsten</t>
  </si>
  <si>
    <t>Leticia</t>
  </si>
  <si>
    <t>Krista</t>
  </si>
  <si>
    <t>Constance</t>
  </si>
  <si>
    <t>Lavinia</t>
  </si>
  <si>
    <t>Lizzie</t>
  </si>
  <si>
    <t>Kimberly</t>
  </si>
  <si>
    <t>Camelia</t>
  </si>
  <si>
    <t>Agagtha</t>
  </si>
  <si>
    <t>Persa</t>
  </si>
  <si>
    <t>Persephone</t>
  </si>
  <si>
    <t>Penelope</t>
  </si>
  <si>
    <t>Mirka</t>
  </si>
  <si>
    <t>Elisabeta</t>
  </si>
  <si>
    <t>Bertha</t>
  </si>
  <si>
    <t>Martha</t>
  </si>
  <si>
    <t>Olivia</t>
  </si>
  <si>
    <t>Kayla</t>
  </si>
  <si>
    <t>Dana</t>
  </si>
  <si>
    <t>Johnson</t>
  </si>
  <si>
    <t>Williams</t>
  </si>
  <si>
    <t>Jones</t>
  </si>
  <si>
    <t>Davis</t>
  </si>
  <si>
    <t>Garcia</t>
  </si>
  <si>
    <t>Rodriguez</t>
  </si>
  <si>
    <t>Martinez</t>
  </si>
  <si>
    <t>Taylor</t>
  </si>
  <si>
    <t>Hernandez</t>
  </si>
  <si>
    <t>Moore</t>
  </si>
  <si>
    <t>Lopez</t>
  </si>
  <si>
    <t>Harris</t>
  </si>
  <si>
    <t>Robinson</t>
  </si>
  <si>
    <t>Walker</t>
  </si>
  <si>
    <t>Perez</t>
  </si>
  <si>
    <t>Hall</t>
  </si>
  <si>
    <t>Young</t>
  </si>
  <si>
    <t>Sanchez</t>
  </si>
  <si>
    <t>King</t>
  </si>
  <si>
    <t>Baker</t>
  </si>
  <si>
    <t>Nelson</t>
  </si>
  <si>
    <t>Hill</t>
  </si>
  <si>
    <t>Ramirez</t>
  </si>
  <si>
    <t>Campbell</t>
  </si>
  <si>
    <t>Mitchell</t>
  </si>
  <si>
    <t>Roberts</t>
  </si>
  <si>
    <t>Evans</t>
  </si>
  <si>
    <t>Turner</t>
  </si>
  <si>
    <t>Torres</t>
  </si>
  <si>
    <t>Parker</t>
  </si>
  <si>
    <t>Edwards</t>
  </si>
  <si>
    <t>Flores</t>
  </si>
  <si>
    <t>Murphy</t>
  </si>
  <si>
    <t>Rivera</t>
  </si>
  <si>
    <t>Cook</t>
  </si>
  <si>
    <t>Rogers</t>
  </si>
  <si>
    <t>Bailey</t>
  </si>
  <si>
    <t>Bell</t>
  </si>
  <si>
    <t>Gomez</t>
  </si>
  <si>
    <t>Howard</t>
  </si>
  <si>
    <t>Ward</t>
  </si>
  <si>
    <t>Cox</t>
  </si>
  <si>
    <t>Diaz</t>
  </si>
  <si>
    <t>Richardson</t>
  </si>
  <si>
    <t>Wood</t>
  </si>
  <si>
    <t>Watson</t>
  </si>
  <si>
    <t>Brooks</t>
  </si>
  <si>
    <t>Bennett</t>
  </si>
  <si>
    <t>Gray</t>
  </si>
  <si>
    <t>Reyes</t>
  </si>
  <si>
    <t>Cruz</t>
  </si>
  <si>
    <t>Hughes</t>
  </si>
  <si>
    <t>Price</t>
  </si>
  <si>
    <t>Myers</t>
  </si>
  <si>
    <t>Long</t>
  </si>
  <si>
    <t>Foster</t>
  </si>
  <si>
    <t>Sanders</t>
  </si>
  <si>
    <t>Morales</t>
  </si>
  <si>
    <t>Powell</t>
  </si>
  <si>
    <t>Sullivan</t>
  </si>
  <si>
    <t>Russell</t>
  </si>
  <si>
    <t>Ortiz</t>
  </si>
  <si>
    <t>Jenkins</t>
  </si>
  <si>
    <t>Gutierrez</t>
  </si>
  <si>
    <t>Perry</t>
  </si>
  <si>
    <t>Butler</t>
  </si>
  <si>
    <t>Fisher</t>
  </si>
  <si>
    <t>Henderson</t>
  </si>
  <si>
    <t>Coleman</t>
  </si>
  <si>
    <t>Patterson</t>
  </si>
  <si>
    <t>Jordan</t>
  </si>
  <si>
    <t>Reynolds</t>
  </si>
  <si>
    <t>Gonzales</t>
  </si>
  <si>
    <t>Alexander</t>
  </si>
  <si>
    <t>Ramos</t>
  </si>
  <si>
    <t>Wallace</t>
  </si>
  <si>
    <t>Griffin</t>
  </si>
  <si>
    <t>Hayes</t>
  </si>
  <si>
    <t>Chavez</t>
  </si>
  <si>
    <t>Gibson</t>
  </si>
  <si>
    <t>Bryant</t>
  </si>
  <si>
    <t>Ellis</t>
  </si>
  <si>
    <t>Murray</t>
  </si>
  <si>
    <t>Marshall</t>
  </si>
  <si>
    <t>Owens</t>
  </si>
  <si>
    <t>Mcdonald</t>
  </si>
  <si>
    <t>Ruiz</t>
  </si>
  <si>
    <t>Kennedy</t>
  </si>
  <si>
    <t>Wells</t>
  </si>
  <si>
    <t>Alvarez</t>
  </si>
  <si>
    <t>Woods</t>
  </si>
  <si>
    <t>Mendoza</t>
  </si>
  <si>
    <t>Castillo</t>
  </si>
  <si>
    <t>Olson</t>
  </si>
  <si>
    <t>Tucker</t>
  </si>
  <si>
    <t>Burns</t>
  </si>
  <si>
    <t>Vasquez</t>
  </si>
  <si>
    <t>Snyder</t>
  </si>
  <si>
    <t>Crawford</t>
  </si>
  <si>
    <t>Jimenez</t>
  </si>
  <si>
    <t>Porter</t>
  </si>
  <si>
    <t>Shaw</t>
  </si>
  <si>
    <t>Romero</t>
  </si>
  <si>
    <t>Hicks</t>
  </si>
  <si>
    <t>Dixon</t>
  </si>
  <si>
    <t>Hunt</t>
  </si>
  <si>
    <t>Robertson</t>
  </si>
  <si>
    <t>Black</t>
  </si>
  <si>
    <t>Holmes</t>
  </si>
  <si>
    <t>Meyer</t>
  </si>
  <si>
    <t>Boyd</t>
  </si>
  <si>
    <t>Mills</t>
  </si>
  <si>
    <t>Warren</t>
  </si>
  <si>
    <t>Fox</t>
  </si>
  <si>
    <t>Rose</t>
  </si>
  <si>
    <t>Rice</t>
  </si>
  <si>
    <t>Moreno</t>
  </si>
  <si>
    <t>Schmidt</t>
  </si>
  <si>
    <t>Patel</t>
  </si>
  <si>
    <t>Ferguson</t>
  </si>
  <si>
    <t>Nichols</t>
  </si>
  <si>
    <t>Herrera</t>
  </si>
  <si>
    <t>Weaver</t>
  </si>
  <si>
    <t>Daniels</t>
  </si>
  <si>
    <t>Kelley</t>
  </si>
  <si>
    <t>Dunn</t>
  </si>
  <si>
    <t>Pierce</t>
  </si>
  <si>
    <t>Tran</t>
  </si>
  <si>
    <t>Peters</t>
  </si>
  <si>
    <t>Hansen</t>
  </si>
  <si>
    <t>Castro</t>
  </si>
  <si>
    <t>Hoffman</t>
  </si>
  <si>
    <t>Elliott</t>
  </si>
  <si>
    <t>Cunningham</t>
  </si>
  <si>
    <t>Knight</t>
  </si>
  <si>
    <t>Bradley</t>
  </si>
  <si>
    <t>Carroll</t>
  </si>
  <si>
    <t>Hudson</t>
  </si>
  <si>
    <t>Andrews</t>
  </si>
  <si>
    <t>Johnston</t>
  </si>
  <si>
    <t>Riley</t>
  </si>
  <si>
    <t>Aguilar</t>
  </si>
  <si>
    <t>Silva</t>
  </si>
  <si>
    <t>Richards</t>
  </si>
  <si>
    <t>Matthews</t>
  </si>
  <si>
    <t>Chapman</t>
  </si>
  <si>
    <t>Lawrence</t>
  </si>
  <si>
    <t>Garza</t>
  </si>
  <si>
    <t>Vargas</t>
  </si>
  <si>
    <t>Watkins</t>
  </si>
  <si>
    <t>Wheeler</t>
  </si>
  <si>
    <t>Carlson</t>
  </si>
  <si>
    <t>Harper</t>
  </si>
  <si>
    <t>Greene</t>
  </si>
  <si>
    <t>Guzman</t>
  </si>
  <si>
    <t>Munoz</t>
  </si>
  <si>
    <t>Jacobs</t>
  </si>
  <si>
    <t>Obrien</t>
  </si>
  <si>
    <t>Lawson</t>
  </si>
  <si>
    <t>Lynch</t>
  </si>
  <si>
    <t>Bishop</t>
  </si>
  <si>
    <t>Carr</t>
  </si>
  <si>
    <t>Salazar</t>
  </si>
  <si>
    <t>Mendez</t>
  </si>
  <si>
    <t>Jensen</t>
  </si>
  <si>
    <t>Williamson</t>
  </si>
  <si>
    <t>Montgomery</t>
  </si>
  <si>
    <t>Harvey</t>
  </si>
  <si>
    <t>Howell</t>
  </si>
  <si>
    <t>Hanson</t>
  </si>
  <si>
    <t>Weber</t>
  </si>
  <si>
    <t>Garrett</t>
  </si>
  <si>
    <t>Sims</t>
  </si>
  <si>
    <t>Burton</t>
  </si>
  <si>
    <t>Fuller</t>
  </si>
  <si>
    <t>Soto</t>
  </si>
  <si>
    <t>Mccoy</t>
  </si>
  <si>
    <t>Welch</t>
  </si>
  <si>
    <t>Chen</t>
  </si>
  <si>
    <t>Walters</t>
  </si>
  <si>
    <t>Reid</t>
  </si>
  <si>
    <t>Fields</t>
  </si>
  <si>
    <t>Walsh</t>
  </si>
  <si>
    <t>Little</t>
  </si>
  <si>
    <t>Fowler</t>
  </si>
  <si>
    <t>Bowman</t>
  </si>
  <si>
    <t>Davidson</t>
  </si>
  <si>
    <t>May</t>
  </si>
  <si>
    <t>Day</t>
  </si>
  <si>
    <t>Newman</t>
  </si>
  <si>
    <t>Brewer</t>
  </si>
  <si>
    <t>Lucas</t>
  </si>
  <si>
    <t>Wong</t>
  </si>
  <si>
    <t>Santos</t>
  </si>
  <si>
    <t>Delgado</t>
  </si>
  <si>
    <t>Valdez</t>
  </si>
  <si>
    <t>Pena</t>
  </si>
  <si>
    <t>Rios</t>
  </si>
  <si>
    <t>Sandoval</t>
  </si>
  <si>
    <t>Barrett</t>
  </si>
  <si>
    <t>Guerrero</t>
  </si>
  <si>
    <t>Bates</t>
  </si>
  <si>
    <t>Alvarado</t>
  </si>
  <si>
    <t>Beck</t>
  </si>
  <si>
    <t>Ortega</t>
  </si>
  <si>
    <t>Wade</t>
  </si>
  <si>
    <t>Estrada</t>
  </si>
  <si>
    <t>Contreras</t>
  </si>
  <si>
    <t>Barnett</t>
  </si>
  <si>
    <t>Caldwell</t>
  </si>
  <si>
    <t>Santiago</t>
  </si>
  <si>
    <t>Lambert</t>
  </si>
  <si>
    <t>Powers</t>
  </si>
  <si>
    <t>Chambers</t>
  </si>
  <si>
    <t>Nunez</t>
  </si>
  <si>
    <t>Craig</t>
  </si>
  <si>
    <t>Lowe</t>
  </si>
  <si>
    <t>Rhodes</t>
  </si>
  <si>
    <t>Byrd</t>
  </si>
  <si>
    <t>Gregory</t>
  </si>
  <si>
    <t>Shelton</t>
  </si>
  <si>
    <t>Frazier</t>
  </si>
  <si>
    <t>Becker</t>
  </si>
  <si>
    <t>Maldonado</t>
  </si>
  <si>
    <t>Fleming</t>
  </si>
  <si>
    <t>Vega</t>
  </si>
  <si>
    <t>Sutton</t>
  </si>
  <si>
    <t>Jennings</t>
  </si>
  <si>
    <t>Parks</t>
  </si>
  <si>
    <t>Mcdaniel</t>
  </si>
  <si>
    <t>Watts</t>
  </si>
  <si>
    <t>Barker</t>
  </si>
  <si>
    <t>Norris</t>
  </si>
  <si>
    <t>Vaughn</t>
  </si>
  <si>
    <t>Vazquez</t>
  </si>
  <si>
    <t>Holt</t>
  </si>
  <si>
    <t>Steele</t>
  </si>
  <si>
    <t>Benson</t>
  </si>
  <si>
    <t>Dominguez</t>
  </si>
  <si>
    <t>Horton</t>
  </si>
  <si>
    <t>Terry</t>
  </si>
  <si>
    <t>Hale</t>
  </si>
  <si>
    <t>Lyons</t>
  </si>
  <si>
    <t>Graves</t>
  </si>
  <si>
    <t>Haynes</t>
  </si>
  <si>
    <t>Park</t>
  </si>
  <si>
    <t>Warner</t>
  </si>
  <si>
    <t>Padilla</t>
  </si>
  <si>
    <t>Bush</t>
  </si>
  <si>
    <t>Thornton</t>
  </si>
  <si>
    <t>Mccarthy</t>
  </si>
  <si>
    <t>Mann</t>
  </si>
  <si>
    <t>Zimmerman</t>
  </si>
  <si>
    <t>Erickson</t>
  </si>
  <si>
    <t>Fletcher</t>
  </si>
  <si>
    <t>Mckinney</t>
  </si>
  <si>
    <t>Page</t>
  </si>
  <si>
    <t>Joseph</t>
  </si>
  <si>
    <t>Marquez</t>
  </si>
  <si>
    <t>Klein</t>
  </si>
  <si>
    <t>Espinoza</t>
  </si>
  <si>
    <t>Moran</t>
  </si>
  <si>
    <t>Love</t>
  </si>
  <si>
    <t>Ball</t>
  </si>
  <si>
    <t>Cortez</t>
  </si>
  <si>
    <t>Le</t>
  </si>
  <si>
    <t>Griffith</t>
  </si>
  <si>
    <t>Bowen</t>
  </si>
  <si>
    <t>Sharp</t>
  </si>
  <si>
    <t>Swanson</t>
  </si>
  <si>
    <t>Acosta</t>
  </si>
  <si>
    <t>Luna</t>
  </si>
  <si>
    <t>Blair</t>
  </si>
  <si>
    <t>Cross</t>
  </si>
  <si>
    <t>Oconnor</t>
  </si>
  <si>
    <t>Gross</t>
  </si>
  <si>
    <t>Navarro</t>
  </si>
  <si>
    <t>Moss</t>
  </si>
  <si>
    <t>Doyle</t>
  </si>
  <si>
    <t>Mclaughlin</t>
  </si>
  <si>
    <t>Rojas</t>
  </si>
  <si>
    <t>Rodgers</t>
  </si>
  <si>
    <t>Stevenson</t>
  </si>
  <si>
    <t>Singh</t>
  </si>
  <si>
    <t>Yang</t>
  </si>
  <si>
    <t>Harmon</t>
  </si>
  <si>
    <t>Manning</t>
  </si>
  <si>
    <t>Mcgee</t>
  </si>
  <si>
    <t>Reese</t>
  </si>
  <si>
    <t>Adkins</t>
  </si>
  <si>
    <t>Goodman</t>
  </si>
  <si>
    <t>Curry</t>
  </si>
  <si>
    <t>Brady</t>
  </si>
  <si>
    <t>Christensen</t>
  </si>
  <si>
    <t>Potter</t>
  </si>
  <si>
    <t>Walton</t>
  </si>
  <si>
    <t>Goodwin</t>
  </si>
  <si>
    <t>Mullins</t>
  </si>
  <si>
    <t>Molina</t>
  </si>
  <si>
    <t>Campos</t>
  </si>
  <si>
    <t>Avila</t>
  </si>
  <si>
    <t>Sherman</t>
  </si>
  <si>
    <t>Todd</t>
  </si>
  <si>
    <t>Chang</t>
  </si>
  <si>
    <t>Blake</t>
  </si>
  <si>
    <t>Hodges</t>
  </si>
  <si>
    <t>Juarez</t>
  </si>
  <si>
    <t>Farmer</t>
  </si>
  <si>
    <t>Hines</t>
  </si>
  <si>
    <t>Duran</t>
  </si>
  <si>
    <t>Hubbard</t>
  </si>
  <si>
    <t>Cannon</t>
  </si>
  <si>
    <t>Wang</t>
  </si>
  <si>
    <t>Saunders</t>
  </si>
  <si>
    <t>Tate</t>
  </si>
  <si>
    <t>Mack</t>
  </si>
  <si>
    <t>Hammond</t>
  </si>
  <si>
    <t>Carrillo</t>
  </si>
  <si>
    <t>Wise</t>
  </si>
  <si>
    <t>Ingram</t>
  </si>
  <si>
    <t>Barton</t>
  </si>
  <si>
    <t>Mejia</t>
  </si>
  <si>
    <t>Ayala</t>
  </si>
  <si>
    <t>Hampton</t>
  </si>
  <si>
    <t>Rowe</t>
  </si>
  <si>
    <t>Parsons</t>
  </si>
  <si>
    <t>Waters</t>
  </si>
  <si>
    <t>Strickland</t>
  </si>
  <si>
    <t>Osborne</t>
  </si>
  <si>
    <t>Maxwell</t>
  </si>
  <si>
    <t>Chan</t>
  </si>
  <si>
    <t>Deleon</t>
  </si>
  <si>
    <t>Harrington</t>
  </si>
  <si>
    <t>Casey</t>
  </si>
  <si>
    <t>Patton</t>
  </si>
  <si>
    <t>Logan</t>
  </si>
  <si>
    <t>Bowers</t>
  </si>
  <si>
    <t>Mueller</t>
  </si>
  <si>
    <t>Glover</t>
  </si>
  <si>
    <t>Hartman</t>
  </si>
  <si>
    <t>Buchanan</t>
  </si>
  <si>
    <t>Cobb</t>
  </si>
  <si>
    <t>French</t>
  </si>
  <si>
    <t>Kramer</t>
  </si>
  <si>
    <t>Tyler</t>
  </si>
  <si>
    <t>Moody</t>
  </si>
  <si>
    <t>Conner</t>
  </si>
  <si>
    <t>Sparks</t>
  </si>
  <si>
    <t>Mcguire</t>
  </si>
  <si>
    <t>Leon</t>
  </si>
  <si>
    <t>Bauer</t>
  </si>
  <si>
    <t>Norton</t>
  </si>
  <si>
    <t>Pope</t>
  </si>
  <si>
    <t>Hogan</t>
  </si>
  <si>
    <t>Robles</t>
  </si>
  <si>
    <t>Salinas</t>
  </si>
  <si>
    <t>Lindsey</t>
  </si>
  <si>
    <t>Marsh</t>
  </si>
  <si>
    <t>Mcbride</t>
  </si>
  <si>
    <t>Solis</t>
  </si>
  <si>
    <t>Pham</t>
  </si>
  <si>
    <t>Ballard</t>
  </si>
  <si>
    <t>Trujillo</t>
  </si>
  <si>
    <t>Shaffer</t>
  </si>
  <si>
    <t>Drake</t>
  </si>
  <si>
    <t>Roman</t>
  </si>
  <si>
    <t>Aguirre</t>
  </si>
  <si>
    <t>Morton</t>
  </si>
  <si>
    <t>Stokes</t>
  </si>
  <si>
    <t>Lamb</t>
  </si>
  <si>
    <t>Pacheco</t>
  </si>
  <si>
    <t>Cochran</t>
  </si>
  <si>
    <t>Shepherd</t>
  </si>
  <si>
    <t>Cain</t>
  </si>
  <si>
    <t>Burnett</t>
  </si>
  <si>
    <t>Hess</t>
  </si>
  <si>
    <t>Li</t>
  </si>
  <si>
    <t>Cervantes</t>
  </si>
  <si>
    <t>Olsen</t>
  </si>
  <si>
    <t>Ochoa</t>
  </si>
  <si>
    <t>Cabrera</t>
  </si>
  <si>
    <t>Velasquez</t>
  </si>
  <si>
    <t>Montoya</t>
  </si>
  <si>
    <t>Roth</t>
  </si>
  <si>
    <t>Meyers</t>
  </si>
  <si>
    <t>Cardenas</t>
  </si>
  <si>
    <t>Fuentes</t>
  </si>
  <si>
    <t>Weiss</t>
  </si>
  <si>
    <t>Hoover</t>
  </si>
  <si>
    <t>Nicholson</t>
  </si>
  <si>
    <t>Underwood</t>
  </si>
  <si>
    <t>Short</t>
  </si>
  <si>
    <t>Carson</t>
  </si>
  <si>
    <t>Morrow</t>
  </si>
  <si>
    <t>Colon</t>
  </si>
  <si>
    <t>Holloway</t>
  </si>
  <si>
    <t>Summers</t>
  </si>
  <si>
    <t>Bryan</t>
  </si>
  <si>
    <t>Petersen</t>
  </si>
  <si>
    <t>Mckenzie</t>
  </si>
  <si>
    <t>Serrano</t>
  </si>
  <si>
    <t>Wilcox</t>
  </si>
  <si>
    <t>Carey</t>
  </si>
  <si>
    <t>Poole</t>
  </si>
  <si>
    <t>Calderon</t>
  </si>
  <si>
    <t>Gallegos</t>
  </si>
  <si>
    <t>Greer</t>
  </si>
  <si>
    <t>Rivas</t>
  </si>
  <si>
    <t>Guerra</t>
  </si>
  <si>
    <t>Decker</t>
  </si>
  <si>
    <t>Collier</t>
  </si>
  <si>
    <t>Wall</t>
  </si>
  <si>
    <t>Whitaker</t>
  </si>
  <si>
    <t>Bass</t>
  </si>
  <si>
    <t>Flowers</t>
  </si>
  <si>
    <t>Davenport</t>
  </si>
  <si>
    <t>Conley</t>
  </si>
  <si>
    <t>Huff</t>
  </si>
  <si>
    <t>Copeland</t>
  </si>
  <si>
    <t>Hood</t>
  </si>
  <si>
    <t>Massey</t>
  </si>
  <si>
    <t>Roberson</t>
  </si>
  <si>
    <t>Combs</t>
  </si>
  <si>
    <t>Franco</t>
  </si>
  <si>
    <t>Pittman</t>
  </si>
  <si>
    <t>Skinner</t>
  </si>
  <si>
    <t>Wilkinson</t>
  </si>
  <si>
    <t>Kirby</t>
  </si>
  <si>
    <t>Cameron</t>
  </si>
  <si>
    <t>Singleton</t>
  </si>
  <si>
    <t>Mathis</t>
  </si>
  <si>
    <t>Bradford</t>
  </si>
  <si>
    <t>Boone</t>
  </si>
  <si>
    <t>Abbott</t>
  </si>
  <si>
    <t>Allison</t>
  </si>
  <si>
    <t>Sweeney</t>
  </si>
  <si>
    <t>Atkinson</t>
  </si>
  <si>
    <t>Horn</t>
  </si>
  <si>
    <t>Rosales</t>
  </si>
  <si>
    <t>York</t>
  </si>
  <si>
    <t>Phelps</t>
  </si>
  <si>
    <t>Farrell</t>
  </si>
  <si>
    <t>Castaneda</t>
  </si>
  <si>
    <t>Nash</t>
  </si>
  <si>
    <t>Dickerson</t>
  </si>
  <si>
    <t>Bond</t>
  </si>
  <si>
    <t>Wyatt</t>
  </si>
  <si>
    <t>Foley</t>
  </si>
  <si>
    <t>Gates</t>
  </si>
  <si>
    <t>Vincent</t>
  </si>
  <si>
    <t>Mathews</t>
  </si>
  <si>
    <t>Garrison</t>
  </si>
  <si>
    <t>Trevino</t>
  </si>
  <si>
    <t>Villarreal</t>
  </si>
  <si>
    <t>Heath</t>
  </si>
  <si>
    <t>Dalton</t>
  </si>
  <si>
    <t>Valencia</t>
  </si>
  <si>
    <t>Hensley</t>
  </si>
  <si>
    <t>Atkins</t>
  </si>
  <si>
    <t>Huffman</t>
  </si>
  <si>
    <t>Roy</t>
  </si>
  <si>
    <t>Boyer</t>
  </si>
  <si>
    <t>Lin</t>
  </si>
  <si>
    <t>Hancock</t>
  </si>
  <si>
    <t>Grimes</t>
  </si>
  <si>
    <t>Glenn</t>
  </si>
  <si>
    <t>Cline</t>
  </si>
  <si>
    <t>Delacruz</t>
  </si>
  <si>
    <t>Camacho</t>
  </si>
  <si>
    <t>Dillon</t>
  </si>
  <si>
    <t>Parrish</t>
  </si>
  <si>
    <t>Oneill</t>
  </si>
  <si>
    <t>Melton</t>
  </si>
  <si>
    <t>Booth</t>
  </si>
  <si>
    <t>Kane</t>
  </si>
  <si>
    <t>Berg</t>
  </si>
  <si>
    <t>Harrell</t>
  </si>
  <si>
    <t>Pitts</t>
  </si>
  <si>
    <t>Savage</t>
  </si>
  <si>
    <t>Wiggins</t>
  </si>
  <si>
    <t>Brennan</t>
  </si>
  <si>
    <t>Salas</t>
  </si>
  <si>
    <t>Marks</t>
  </si>
  <si>
    <t>Russo</t>
  </si>
  <si>
    <t>Baxter</t>
  </si>
  <si>
    <t>Golden</t>
  </si>
  <si>
    <t>Hutchinson</t>
  </si>
  <si>
    <t>Liu</t>
  </si>
  <si>
    <t>Walter</t>
  </si>
  <si>
    <t>Mcdowell</t>
  </si>
  <si>
    <t>Wiley</t>
  </si>
  <si>
    <t>Rich</t>
  </si>
  <si>
    <t>Humphrey</t>
  </si>
  <si>
    <t>Johns</t>
  </si>
  <si>
    <t>Koch</t>
  </si>
  <si>
    <t>Suarez</t>
  </si>
  <si>
    <t>Hobbs</t>
  </si>
  <si>
    <t>Beard</t>
  </si>
  <si>
    <t>Gilmore</t>
  </si>
  <si>
    <t>Ibarra</t>
  </si>
  <si>
    <t>Keith</t>
  </si>
  <si>
    <t>Macias</t>
  </si>
  <si>
    <t>Khan</t>
  </si>
  <si>
    <t>Andrade</t>
  </si>
  <si>
    <t>Ware</t>
  </si>
  <si>
    <t>Stephenson</t>
  </si>
  <si>
    <t>Henson</t>
  </si>
  <si>
    <t>Wilkerson</t>
  </si>
  <si>
    <t>Dyer</t>
  </si>
  <si>
    <t>Mcclure</t>
  </si>
  <si>
    <t>Blackwell</t>
  </si>
  <si>
    <t>Mercado</t>
  </si>
  <si>
    <t>Tanner</t>
  </si>
  <si>
    <t>Eaton</t>
  </si>
  <si>
    <t>Clay</t>
  </si>
  <si>
    <t>Barron</t>
  </si>
  <si>
    <t>Beasley</t>
  </si>
  <si>
    <t>Oneal</t>
  </si>
  <si>
    <t>Preston</t>
  </si>
  <si>
    <t>Small</t>
  </si>
  <si>
    <t>Wu</t>
  </si>
  <si>
    <t>Zamora</t>
  </si>
  <si>
    <t>Macdonald</t>
  </si>
  <si>
    <t>Vance</t>
  </si>
  <si>
    <t>Snow</t>
  </si>
  <si>
    <t>Mcclain</t>
  </si>
  <si>
    <t>Stafford</t>
  </si>
  <si>
    <t>Orozco</t>
  </si>
  <si>
    <t>English</t>
  </si>
  <si>
    <t>Kline</t>
  </si>
  <si>
    <t>Jacobson</t>
  </si>
  <si>
    <t>Woodard</t>
  </si>
  <si>
    <t>Huang</t>
  </si>
  <si>
    <t>Kemp</t>
  </si>
  <si>
    <t>Mosley</t>
  </si>
  <si>
    <t>Prince</t>
  </si>
  <si>
    <t>Merritt</t>
  </si>
  <si>
    <t>Villanueva</t>
  </si>
  <si>
    <t>Roach</t>
  </si>
  <si>
    <t>Nolan</t>
  </si>
  <si>
    <t>Lam</t>
  </si>
  <si>
    <t>Yoder</t>
  </si>
  <si>
    <t>Santana</t>
  </si>
  <si>
    <t>Valenzuela</t>
  </si>
  <si>
    <t>Winters</t>
  </si>
  <si>
    <t>Barrera</t>
  </si>
  <si>
    <t>Leach</t>
  </si>
  <si>
    <t>Orr</t>
  </si>
  <si>
    <t>Mckee</t>
  </si>
  <si>
    <t>Strong</t>
  </si>
  <si>
    <t>Conway</t>
  </si>
  <si>
    <t>Whitehead</t>
  </si>
  <si>
    <t>Bullock</t>
  </si>
  <si>
    <t>Escobar</t>
  </si>
  <si>
    <t>Knox</t>
  </si>
  <si>
    <t>Meadows</t>
  </si>
  <si>
    <t>Solomon</t>
  </si>
  <si>
    <t>Velez</t>
  </si>
  <si>
    <t>Odonnell</t>
  </si>
  <si>
    <t>Kerr</t>
  </si>
  <si>
    <t>Stout</t>
  </si>
  <si>
    <t>Blankenship</t>
  </si>
  <si>
    <t>Browning</t>
  </si>
  <si>
    <t>Lozano</t>
  </si>
  <si>
    <t>Bartlett</t>
  </si>
  <si>
    <t>Pruitt</t>
  </si>
  <si>
    <t>Buck</t>
  </si>
  <si>
    <t>Barr</t>
  </si>
  <si>
    <t>Gaines</t>
  </si>
  <si>
    <t>Gentry</t>
  </si>
  <si>
    <t>Mcintyre</t>
  </si>
  <si>
    <t>Melendez</t>
  </si>
  <si>
    <t>Rocha</t>
  </si>
  <si>
    <t>Herman</t>
  </si>
  <si>
    <t>Sexton</t>
  </si>
  <si>
    <t>Moon</t>
  </si>
  <si>
    <t>Hendricks</t>
  </si>
  <si>
    <t>Rangel</t>
  </si>
  <si>
    <t>Stark</t>
  </si>
  <si>
    <t>Lowery</t>
  </si>
  <si>
    <t>Hardin</t>
  </si>
  <si>
    <t>Hull</t>
  </si>
  <si>
    <t>Sellers</t>
  </si>
  <si>
    <t>Ellison</t>
  </si>
  <si>
    <t>Calhoun</t>
  </si>
  <si>
    <t>Gillespie</t>
  </si>
  <si>
    <t>Mora</t>
  </si>
  <si>
    <t>Knapp</t>
  </si>
  <si>
    <t>Mccall</t>
  </si>
  <si>
    <t>Morse</t>
  </si>
  <si>
    <t>Dorsey</t>
  </si>
  <si>
    <t>Weeks</t>
  </si>
  <si>
    <t>Nielsen</t>
  </si>
  <si>
    <t>Livingston</t>
  </si>
  <si>
    <t>Leblanc</t>
  </si>
  <si>
    <t>Mclean</t>
  </si>
  <si>
    <t>Bradshaw</t>
  </si>
  <si>
    <t>Glass</t>
  </si>
  <si>
    <t>Middleton</t>
  </si>
  <si>
    <t>Buckley</t>
  </si>
  <si>
    <t>Schaefer</t>
  </si>
  <si>
    <t>Frost</t>
  </si>
  <si>
    <t>Howe</t>
  </si>
  <si>
    <t>Mcintosh</t>
  </si>
  <si>
    <t>Ho</t>
  </si>
  <si>
    <t>Pennington</t>
  </si>
  <si>
    <t>Reilly</t>
  </si>
  <si>
    <t>Hebert</t>
  </si>
  <si>
    <t>Mcfarland</t>
  </si>
  <si>
    <t>Hickman</t>
  </si>
  <si>
    <t>Conrad</t>
  </si>
  <si>
    <t>Arias</t>
  </si>
  <si>
    <t>Galvan</t>
  </si>
  <si>
    <t>Velazquez</t>
  </si>
  <si>
    <t>Huynh</t>
  </si>
  <si>
    <t>Frederick</t>
  </si>
  <si>
    <t>Randolph</t>
  </si>
  <si>
    <t>Cantu</t>
  </si>
  <si>
    <t>Mahoney</t>
  </si>
  <si>
    <t>Peck</t>
  </si>
  <si>
    <t>Villa</t>
  </si>
  <si>
    <t>Michael</t>
  </si>
  <si>
    <t>Mcconnell</t>
  </si>
  <si>
    <t>Mayer</t>
  </si>
  <si>
    <t>Zuniga</t>
  </si>
  <si>
    <t>Giles</t>
  </si>
  <si>
    <t>Pineda</t>
  </si>
  <si>
    <t>Pace</t>
  </si>
  <si>
    <t>Hurley</t>
  </si>
  <si>
    <t>Mays</t>
  </si>
  <si>
    <t>Mcmillan</t>
  </si>
  <si>
    <t>Crosby</t>
  </si>
  <si>
    <t>Ayers</t>
  </si>
  <si>
    <t>Case</t>
  </si>
  <si>
    <t>Shepard</t>
  </si>
  <si>
    <t>Pugh</t>
  </si>
  <si>
    <t>Mcmahon</t>
  </si>
  <si>
    <t>Dunlap</t>
  </si>
  <si>
    <t>Bender</t>
  </si>
  <si>
    <t>Hahn</t>
  </si>
  <si>
    <t>Harding</t>
  </si>
  <si>
    <t>Acevedo</t>
  </si>
  <si>
    <t>Blackburn</t>
  </si>
  <si>
    <t>Duffy</t>
  </si>
  <si>
    <t>Landry</t>
  </si>
  <si>
    <t>Dougherty</t>
  </si>
  <si>
    <t>Bautista</t>
  </si>
  <si>
    <t>Shah</t>
  </si>
  <si>
    <t>Potts</t>
  </si>
  <si>
    <t>Arroyo</t>
  </si>
  <si>
    <t>Valentine</t>
  </si>
  <si>
    <t>Meza</t>
  </si>
  <si>
    <t>Gould</t>
  </si>
  <si>
    <t>Vaughan</t>
  </si>
  <si>
    <t>Fry</t>
  </si>
  <si>
    <t>Avery</t>
  </si>
  <si>
    <t>Herring</t>
  </si>
  <si>
    <t>Dodson</t>
  </si>
  <si>
    <t>Clements</t>
  </si>
  <si>
    <t>Sampson</t>
  </si>
  <si>
    <t>Tapia</t>
  </si>
  <si>
    <t>Bean</t>
  </si>
  <si>
    <t>Lynn</t>
  </si>
  <si>
    <t>Crane</t>
  </si>
  <si>
    <t>Farley</t>
  </si>
  <si>
    <t>Cisneros</t>
  </si>
  <si>
    <t>Benton</t>
  </si>
  <si>
    <t>Mckay</t>
  </si>
  <si>
    <t>Finley</t>
  </si>
  <si>
    <t>Best</t>
  </si>
  <si>
    <t>Blevins</t>
  </si>
  <si>
    <t>Friedman</t>
  </si>
  <si>
    <t>Sosa</t>
  </si>
  <si>
    <t>Blanchard</t>
  </si>
  <si>
    <t>Huber</t>
  </si>
  <si>
    <t>Frye</t>
  </si>
  <si>
    <t>Krueger</t>
  </si>
  <si>
    <t>Rosario</t>
  </si>
  <si>
    <t>Rubio</t>
  </si>
  <si>
    <t>Mullen</t>
  </si>
  <si>
    <t>Haley</t>
  </si>
  <si>
    <t>Chung</t>
  </si>
  <si>
    <t>Moyer</t>
  </si>
  <si>
    <t>Choi</t>
  </si>
  <si>
    <t>Horne</t>
  </si>
  <si>
    <t>Yu</t>
  </si>
  <si>
    <t>Ali</t>
  </si>
  <si>
    <t>Nixon</t>
  </si>
  <si>
    <t>Hayden</t>
  </si>
  <si>
    <t>Rivers</t>
  </si>
  <si>
    <t>Estes</t>
  </si>
  <si>
    <t>Mccarty</t>
  </si>
  <si>
    <t>Richmond</t>
  </si>
  <si>
    <t>Stuart</t>
  </si>
  <si>
    <t>Brandt</t>
  </si>
  <si>
    <t>Oconnell</t>
  </si>
  <si>
    <t>Hanna</t>
  </si>
  <si>
    <t>Sanford</t>
  </si>
  <si>
    <t>Sheppard</t>
  </si>
  <si>
    <t>Church</t>
  </si>
  <si>
    <t>Burch</t>
  </si>
  <si>
    <t>Levy</t>
  </si>
  <si>
    <t>Rasmussen</t>
  </si>
  <si>
    <t>Coffey</t>
  </si>
  <si>
    <t>Ponce</t>
  </si>
  <si>
    <t>Faulkner</t>
  </si>
  <si>
    <t>Donaldson</t>
  </si>
  <si>
    <t>Schmitt</t>
  </si>
  <si>
    <t>Novak</t>
  </si>
  <si>
    <t>Costa</t>
  </si>
  <si>
    <t>Montes</t>
  </si>
  <si>
    <t>Booker</t>
  </si>
  <si>
    <t>Cordova</t>
  </si>
  <si>
    <t>Waller</t>
  </si>
  <si>
    <t>Arellano</t>
  </si>
  <si>
    <t>Maddox</t>
  </si>
  <si>
    <t>Mata</t>
  </si>
  <si>
    <t>Bonilla</t>
  </si>
  <si>
    <t>Stanton</t>
  </si>
  <si>
    <t>Kaufman</t>
  </si>
  <si>
    <t>Dudley</t>
  </si>
  <si>
    <t>Mcpherson</t>
  </si>
  <si>
    <t>Beltran</t>
  </si>
  <si>
    <t>Dickson</t>
  </si>
  <si>
    <t>Mccann</t>
  </si>
  <si>
    <t>Villegas</t>
  </si>
  <si>
    <t>Proctor</t>
  </si>
  <si>
    <t>Hester</t>
  </si>
  <si>
    <t>Cantrell</t>
  </si>
  <si>
    <t>Daugherty</t>
  </si>
  <si>
    <t>Cherry</t>
  </si>
  <si>
    <t>Bray</t>
  </si>
  <si>
    <t>Davila</t>
  </si>
  <si>
    <t>Rowland</t>
  </si>
  <si>
    <t>Levine</t>
  </si>
  <si>
    <t>Madden</t>
  </si>
  <si>
    <t>Spence</t>
  </si>
  <si>
    <t>Good</t>
  </si>
  <si>
    <t>Irwin</t>
  </si>
  <si>
    <t>Krause</t>
  </si>
  <si>
    <t>Petty</t>
  </si>
  <si>
    <t>Baird</t>
  </si>
  <si>
    <t>Hooper</t>
  </si>
  <si>
    <t>Pollard</t>
  </si>
  <si>
    <t>Zavala</t>
  </si>
  <si>
    <t>Holden</t>
  </si>
  <si>
    <t>Haas</t>
  </si>
  <si>
    <t>Hendrix</t>
  </si>
  <si>
    <t>Mcgrath</t>
  </si>
  <si>
    <t>Bird</t>
  </si>
  <si>
    <t>Lucero</t>
  </si>
  <si>
    <t>Terrell</t>
  </si>
  <si>
    <t>Mercer</t>
  </si>
  <si>
    <t>Rollins</t>
  </si>
  <si>
    <t>Galloway</t>
  </si>
  <si>
    <t>Duke</t>
  </si>
  <si>
    <t>Odom</t>
  </si>
  <si>
    <t>Andersen</t>
  </si>
  <si>
    <t>Downs</t>
  </si>
  <si>
    <t>Hatfield</t>
  </si>
  <si>
    <t>Archer</t>
  </si>
  <si>
    <t>Huerta</t>
  </si>
  <si>
    <t>Travis</t>
  </si>
  <si>
    <t>Hinton</t>
  </si>
  <si>
    <t>Zhang</t>
  </si>
  <si>
    <t>Hays</t>
  </si>
  <si>
    <t>Mayo</t>
  </si>
  <si>
    <t>Fritz</t>
  </si>
  <si>
    <t>Branch</t>
  </si>
  <si>
    <t>Mooney</t>
  </si>
  <si>
    <t>Ritter</t>
  </si>
  <si>
    <t>Esparza</t>
  </si>
  <si>
    <t>Braun</t>
  </si>
  <si>
    <t>Gay</t>
  </si>
  <si>
    <t>Riddle</t>
  </si>
  <si>
    <t>Haney</t>
  </si>
  <si>
    <t>Kaiser</t>
  </si>
  <si>
    <t>Holder</t>
  </si>
  <si>
    <t>Chaney</t>
  </si>
  <si>
    <t>Mcknight</t>
  </si>
  <si>
    <t>Gamble</t>
  </si>
  <si>
    <t>Vang</t>
  </si>
  <si>
    <t>Cooley</t>
  </si>
  <si>
    <t>Carney</t>
  </si>
  <si>
    <t>Cowan</t>
  </si>
  <si>
    <t>Forbes</t>
  </si>
  <si>
    <t>Ferrell</t>
  </si>
  <si>
    <t>Davies</t>
  </si>
  <si>
    <t>Barajas</t>
  </si>
  <si>
    <t>Shea</t>
  </si>
  <si>
    <t>Osborn</t>
  </si>
  <si>
    <t>Bright</t>
  </si>
  <si>
    <t>Cuevas</t>
  </si>
  <si>
    <t>Murillo</t>
  </si>
  <si>
    <t>Lutz</t>
  </si>
  <si>
    <t>Duarte</t>
  </si>
  <si>
    <t>Kidd</t>
  </si>
  <si>
    <t>Key</t>
  </si>
  <si>
    <t>Cooke</t>
  </si>
  <si>
    <t>Goff</t>
  </si>
  <si>
    <t>Dejesus</t>
  </si>
  <si>
    <t>Marin</t>
  </si>
  <si>
    <t>Dotson</t>
  </si>
  <si>
    <t>Bonner</t>
  </si>
  <si>
    <t>Cotton</t>
  </si>
  <si>
    <t>Merrill</t>
  </si>
  <si>
    <t>Lindsay</t>
  </si>
  <si>
    <t>Lancaster</t>
  </si>
  <si>
    <t>Felix</t>
  </si>
  <si>
    <t>Salgado</t>
  </si>
  <si>
    <t>Slater</t>
  </si>
  <si>
    <t>Guthrie</t>
  </si>
  <si>
    <t>Holman</t>
  </si>
  <si>
    <t>Fulton</t>
  </si>
  <si>
    <t>Snider</t>
  </si>
  <si>
    <t>Sears</t>
  </si>
  <si>
    <t>Witt</t>
  </si>
  <si>
    <t>Newell</t>
  </si>
  <si>
    <t>Byers</t>
  </si>
  <si>
    <t>Gorman</t>
  </si>
  <si>
    <t>Costello</t>
  </si>
  <si>
    <t>Delaney</t>
  </si>
  <si>
    <t>Albert</t>
  </si>
  <si>
    <t>Workman</t>
  </si>
  <si>
    <t>Rosas</t>
  </si>
  <si>
    <t>Springer</t>
  </si>
  <si>
    <t>Justice</t>
  </si>
  <si>
    <t>Kinney</t>
  </si>
  <si>
    <t>Odell</t>
  </si>
  <si>
    <t>Donnelly</t>
  </si>
  <si>
    <t>Law</t>
  </si>
  <si>
    <t>Dailey</t>
  </si>
  <si>
    <t>Guevara</t>
  </si>
  <si>
    <t>Shoemaker</t>
  </si>
  <si>
    <t>Barlow</t>
  </si>
  <si>
    <t>Marino</t>
  </si>
  <si>
    <t>Winter</t>
  </si>
  <si>
    <t>Craft</t>
  </si>
  <si>
    <t>Katz</t>
  </si>
  <si>
    <t>Pickett</t>
  </si>
  <si>
    <t>Espinosa</t>
  </si>
  <si>
    <t>Daly</t>
  </si>
  <si>
    <t>Maloney</t>
  </si>
  <si>
    <t>Goldstein</t>
  </si>
  <si>
    <t>Crowley</t>
  </si>
  <si>
    <t>Vogel</t>
  </si>
  <si>
    <t>Kuhn</t>
  </si>
  <si>
    <t>Hartley</t>
  </si>
  <si>
    <t>Palacios</t>
  </si>
  <si>
    <t>Mcfadden</t>
  </si>
  <si>
    <t>Britt</t>
  </si>
  <si>
    <t>Wooten</t>
  </si>
  <si>
    <t>Cortes</t>
  </si>
  <si>
    <t>Dillard</t>
  </si>
  <si>
    <t>Childers</t>
  </si>
  <si>
    <t>Alford</t>
  </si>
  <si>
    <t>Dodd</t>
  </si>
  <si>
    <t>Wilder</t>
  </si>
  <si>
    <t>Lange</t>
  </si>
  <si>
    <t>Goldberg</t>
  </si>
  <si>
    <t>Quintero</t>
  </si>
  <si>
    <t>Beach</t>
  </si>
  <si>
    <t>Enriquez</t>
  </si>
  <si>
    <t>Helms</t>
  </si>
  <si>
    <t>Mackey</t>
  </si>
  <si>
    <t>Finch</t>
  </si>
  <si>
    <t>Cramer</t>
  </si>
  <si>
    <t>Minor</t>
  </si>
  <si>
    <t>Flanagan</t>
  </si>
  <si>
    <t>Franks</t>
  </si>
  <si>
    <t>Corona</t>
  </si>
  <si>
    <t>Kendall</t>
  </si>
  <si>
    <t>Mccabe</t>
  </si>
  <si>
    <t>Hendrickson</t>
  </si>
  <si>
    <t>Moser</t>
  </si>
  <si>
    <t>Mcdermott</t>
  </si>
  <si>
    <t>Camp</t>
  </si>
  <si>
    <t>Mcleod</t>
  </si>
  <si>
    <t>Bernal</t>
  </si>
  <si>
    <t>Kaplan</t>
  </si>
  <si>
    <t>Medrano</t>
  </si>
  <si>
    <t>Lugo</t>
  </si>
  <si>
    <t>Tracy</t>
  </si>
  <si>
    <t>Bacon</t>
  </si>
  <si>
    <t>Crowe</t>
  </si>
  <si>
    <t>Richter</t>
  </si>
  <si>
    <t>Holley</t>
  </si>
  <si>
    <t>Ratliff</t>
  </si>
  <si>
    <t>Mayfield</t>
  </si>
  <si>
    <t>Talley</t>
  </si>
  <si>
    <t>Haines</t>
  </si>
  <si>
    <t>Gibbons</t>
  </si>
  <si>
    <t>Hickey</t>
  </si>
  <si>
    <t>Kirkland</t>
  </si>
  <si>
    <t>Correa</t>
  </si>
  <si>
    <t>Tillman</t>
  </si>
  <si>
    <t>Sweet</t>
  </si>
  <si>
    <t>Kessler</t>
  </si>
  <si>
    <t>England</t>
  </si>
  <si>
    <t>Hewitt</t>
  </si>
  <si>
    <t>Blanco</t>
  </si>
  <si>
    <t>Connolly</t>
  </si>
  <si>
    <t>Pate</t>
  </si>
  <si>
    <t>Bruno</t>
  </si>
  <si>
    <t>Holcomb</t>
  </si>
  <si>
    <t>Hyde</t>
  </si>
  <si>
    <t>Mcallister</t>
  </si>
  <si>
    <t>Cash</t>
  </si>
  <si>
    <t>Christopher</t>
  </si>
  <si>
    <t>Whitfield</t>
  </si>
  <si>
    <t>Meeks</t>
  </si>
  <si>
    <t>Hatcher</t>
  </si>
  <si>
    <t>Fink</t>
  </si>
  <si>
    <t>Noel</t>
  </si>
  <si>
    <t>Ritchie</t>
  </si>
  <si>
    <t>Leal</t>
  </si>
  <si>
    <t>Joyner</t>
  </si>
  <si>
    <t>Morin</t>
  </si>
  <si>
    <t>Delarosa</t>
  </si>
  <si>
    <t>Connor</t>
  </si>
  <si>
    <t>Hilton</t>
  </si>
  <si>
    <t>Alston</t>
  </si>
  <si>
    <t>Gilliam</t>
  </si>
  <si>
    <t>Wynn</t>
  </si>
  <si>
    <t>Wills</t>
  </si>
  <si>
    <t>Jaramillo</t>
  </si>
  <si>
    <t>Oneil</t>
  </si>
  <si>
    <t>Nieves</t>
  </si>
  <si>
    <t>Britton</t>
  </si>
  <si>
    <t>Rankin</t>
  </si>
  <si>
    <t>Belcher</t>
  </si>
  <si>
    <t>Guy</t>
  </si>
  <si>
    <t>Chamberlain</t>
  </si>
  <si>
    <t>Tyson</t>
  </si>
  <si>
    <t>Puckett</t>
  </si>
  <si>
    <t>Downing</t>
  </si>
  <si>
    <t>Sharpe</t>
  </si>
  <si>
    <t>Boggs</t>
  </si>
  <si>
    <t>Truong</t>
  </si>
  <si>
    <t>Pierson</t>
  </si>
  <si>
    <t>Godfrey</t>
  </si>
  <si>
    <t>Mobley</t>
  </si>
  <si>
    <t>John</t>
  </si>
  <si>
    <t>Kern</t>
  </si>
  <si>
    <t>Dye</t>
  </si>
  <si>
    <t>Hollis</t>
  </si>
  <si>
    <t>Bravo</t>
  </si>
  <si>
    <t>Magana</t>
  </si>
  <si>
    <t>Ng</t>
  </si>
  <si>
    <t>Tuttle</t>
  </si>
  <si>
    <t>Lim</t>
  </si>
  <si>
    <t>Romano</t>
  </si>
  <si>
    <t>Arthur</t>
  </si>
  <si>
    <t>Trejo</t>
  </si>
  <si>
    <t>Knowles</t>
  </si>
  <si>
    <t>Lyon</t>
  </si>
  <si>
    <t>Shirley</t>
  </si>
  <si>
    <t>Quinones</t>
  </si>
  <si>
    <t>Childs</t>
  </si>
  <si>
    <t>Dolan</t>
  </si>
  <si>
    <t>Head</t>
  </si>
  <si>
    <t>Reyna</t>
  </si>
  <si>
    <t>Saenz</t>
  </si>
  <si>
    <t>Hastings</t>
  </si>
  <si>
    <t>Kenney</t>
  </si>
  <si>
    <t>Cano</t>
  </si>
  <si>
    <t>Denton</t>
  </si>
  <si>
    <t>Villalobos</t>
  </si>
  <si>
    <t>Pryor</t>
  </si>
  <si>
    <t>Sargent</t>
  </si>
  <si>
    <t>Doherty</t>
  </si>
  <si>
    <t>Hopper</t>
  </si>
  <si>
    <t>Phan</t>
  </si>
  <si>
    <t>Womack</t>
  </si>
  <si>
    <t>Ventura</t>
  </si>
  <si>
    <t>Dwyer</t>
  </si>
  <si>
    <t>Muller</t>
  </si>
  <si>
    <t>Galindo</t>
  </si>
  <si>
    <t>Sorensen</t>
  </si>
  <si>
    <t>Parra</t>
  </si>
  <si>
    <t>Rodrigues</t>
  </si>
  <si>
    <t>Nicholas</t>
  </si>
  <si>
    <t>Ahmed</t>
  </si>
  <si>
    <t>Mcginnis</t>
  </si>
  <si>
    <t>Langley</t>
  </si>
  <si>
    <t>Madison</t>
  </si>
  <si>
    <t>Jamison</t>
  </si>
  <si>
    <t>Nava</t>
  </si>
  <si>
    <t>Gustafson</t>
  </si>
  <si>
    <t>Sykes</t>
  </si>
  <si>
    <t>Dempsey</t>
  </si>
  <si>
    <t>Hamm</t>
  </si>
  <si>
    <t>Rodriquez</t>
  </si>
  <si>
    <t>Mcgill</t>
  </si>
  <si>
    <t>Xiong</t>
  </si>
  <si>
    <t>Esquivel</t>
  </si>
  <si>
    <t>Simms</t>
  </si>
  <si>
    <t>Kendrick</t>
  </si>
  <si>
    <t>Boyce</t>
  </si>
  <si>
    <t>Vigil</t>
  </si>
  <si>
    <t>Downey</t>
  </si>
  <si>
    <t>Mckenna</t>
  </si>
  <si>
    <t>Sierra</t>
  </si>
  <si>
    <t>Webber</t>
  </si>
  <si>
    <t>Kirkpatrick</t>
  </si>
  <si>
    <t>Dickinson</t>
  </si>
  <si>
    <t>Couch</t>
  </si>
  <si>
    <t>Burks</t>
  </si>
  <si>
    <t>Sheehan</t>
  </si>
  <si>
    <t>Slaughter</t>
  </si>
  <si>
    <t>Pike</t>
  </si>
  <si>
    <t>Whitley</t>
  </si>
  <si>
    <t>Magee</t>
  </si>
  <si>
    <t>Cheng</t>
  </si>
  <si>
    <t>Cassidy</t>
  </si>
  <si>
    <t>Rutledge</t>
  </si>
  <si>
    <t>Burris</t>
  </si>
  <si>
    <t>Bowling</t>
  </si>
  <si>
    <t>Crabtree</t>
  </si>
  <si>
    <t>Avalos</t>
  </si>
  <si>
    <t>Vu</t>
  </si>
  <si>
    <t>Herron</t>
  </si>
  <si>
    <t>Broussard</t>
  </si>
  <si>
    <t>Abraham</t>
  </si>
  <si>
    <t>Garland</t>
  </si>
  <si>
    <t>Corbett</t>
  </si>
  <si>
    <t>Corbin</t>
  </si>
  <si>
    <t>Stinson</t>
  </si>
  <si>
    <t>Chin</t>
  </si>
  <si>
    <t>Hutchins</t>
  </si>
  <si>
    <t>Woodruff</t>
  </si>
  <si>
    <t>Lau</t>
  </si>
  <si>
    <t>Brandon</t>
  </si>
  <si>
    <t>Singer</t>
  </si>
  <si>
    <t>Hatch</t>
  </si>
  <si>
    <t>Shafer</t>
  </si>
  <si>
    <t>Ott</t>
  </si>
  <si>
    <t>Goss</t>
  </si>
  <si>
    <t>Gregg</t>
  </si>
  <si>
    <t>Dewitt</t>
  </si>
  <si>
    <t>Tang</t>
  </si>
  <si>
    <t>Polk</t>
  </si>
  <si>
    <t>Worley</t>
  </si>
  <si>
    <t>Covington</t>
  </si>
  <si>
    <t>Saldana</t>
  </si>
  <si>
    <t>Heller</t>
  </si>
  <si>
    <t>Emery</t>
  </si>
  <si>
    <t>Cho</t>
  </si>
  <si>
    <t>Mccray</t>
  </si>
  <si>
    <t>Elmore</t>
  </si>
  <si>
    <t>Simons</t>
  </si>
  <si>
    <t>Clemons</t>
  </si>
  <si>
    <t>Beatty</t>
  </si>
  <si>
    <t>Harden</t>
  </si>
  <si>
    <t>Herbert</t>
  </si>
  <si>
    <t>Bland</t>
  </si>
  <si>
    <t>Rucker</t>
  </si>
  <si>
    <t>Manley</t>
  </si>
  <si>
    <t>Ziegler</t>
  </si>
  <si>
    <t>Grady</t>
  </si>
  <si>
    <t>Lott</t>
  </si>
  <si>
    <t>Rouse</t>
  </si>
  <si>
    <t>Gleason</t>
  </si>
  <si>
    <t>Mcclellan</t>
  </si>
  <si>
    <t>Abrams</t>
  </si>
  <si>
    <t>Vo</t>
  </si>
  <si>
    <t>Albright</t>
  </si>
  <si>
    <t>Dunbar</t>
  </si>
  <si>
    <t>Ackerman</t>
  </si>
  <si>
    <t>Padgett</t>
  </si>
  <si>
    <t>Mayes</t>
  </si>
  <si>
    <t>Tipton</t>
  </si>
  <si>
    <t>Coffman</t>
  </si>
  <si>
    <t>Peralta</t>
  </si>
  <si>
    <t>Roe</t>
  </si>
  <si>
    <t>Weston</t>
  </si>
  <si>
    <t>Plummer</t>
  </si>
  <si>
    <t>Helton</t>
  </si>
  <si>
    <t>Stern</t>
  </si>
  <si>
    <t>Fraser</t>
  </si>
  <si>
    <t>Stover</t>
  </si>
  <si>
    <t>Fish</t>
  </si>
  <si>
    <t>Schumacher</t>
  </si>
  <si>
    <t>Baca</t>
  </si>
  <si>
    <t>Curran</t>
  </si>
  <si>
    <t>Vinson</t>
  </si>
  <si>
    <t>Vera</t>
  </si>
  <si>
    <t>Clifton</t>
  </si>
  <si>
    <t>Ervin</t>
  </si>
  <si>
    <t>Lowry</t>
  </si>
  <si>
    <t>Childress</t>
  </si>
  <si>
    <t>Becerra</t>
  </si>
  <si>
    <t>Gore</t>
  </si>
  <si>
    <t>Seymour</t>
  </si>
  <si>
    <t>Chu</t>
  </si>
  <si>
    <t>Field</t>
  </si>
  <si>
    <t>Akers</t>
  </si>
  <si>
    <t>Carrasco</t>
  </si>
  <si>
    <t>Bingham</t>
  </si>
  <si>
    <t>Sterling</t>
  </si>
  <si>
    <t>Greenwood</t>
  </si>
  <si>
    <t>Leslie</t>
  </si>
  <si>
    <t>Groves</t>
  </si>
  <si>
    <t>Swain</t>
  </si>
  <si>
    <t>Edmonds</t>
  </si>
  <si>
    <t>Muniz</t>
  </si>
  <si>
    <t>Crouch</t>
  </si>
  <si>
    <t>Walden</t>
  </si>
  <si>
    <t>Smart</t>
  </si>
  <si>
    <t>Alfaro</t>
  </si>
  <si>
    <t>Quick</t>
  </si>
  <si>
    <t>Mcelroy</t>
  </si>
  <si>
    <t>Yarbrough</t>
  </si>
  <si>
    <t>Funk</t>
  </si>
  <si>
    <t>Hong</t>
  </si>
  <si>
    <t>Portillo</t>
  </si>
  <si>
    <t>Lund</t>
  </si>
  <si>
    <t>Ngo</t>
  </si>
  <si>
    <t>Elkins</t>
  </si>
  <si>
    <t>Stroud</t>
  </si>
  <si>
    <t>Meredith</t>
  </si>
  <si>
    <t>Battle</t>
  </si>
  <si>
    <t>Mccauley</t>
  </si>
  <si>
    <t>Zapata</t>
  </si>
  <si>
    <t>Gee</t>
  </si>
  <si>
    <t>Givens</t>
  </si>
  <si>
    <t>Cardona</t>
  </si>
  <si>
    <t>Schafer</t>
  </si>
  <si>
    <t>Robison</t>
  </si>
  <si>
    <t>Gunter</t>
  </si>
  <si>
    <t>Griggs</t>
  </si>
  <si>
    <t>Tovar</t>
  </si>
  <si>
    <t>Teague</t>
  </si>
  <si>
    <t>Swift</t>
  </si>
  <si>
    <t>Bowden</t>
  </si>
  <si>
    <t>Schulz</t>
  </si>
  <si>
    <t>Blanton</t>
  </si>
  <si>
    <t>Buckner</t>
  </si>
  <si>
    <t>Whalen</t>
  </si>
  <si>
    <t>Pritchard</t>
  </si>
  <si>
    <t>Pierre</t>
  </si>
  <si>
    <t>Kang</t>
  </si>
  <si>
    <t>Butts</t>
  </si>
  <si>
    <t>Metcalf</t>
  </si>
  <si>
    <t>Kurtz</t>
  </si>
  <si>
    <t>Sanderson</t>
  </si>
  <si>
    <t>Tompkins</t>
  </si>
  <si>
    <t>Inman</t>
  </si>
  <si>
    <t>Crowder</t>
  </si>
  <si>
    <t>Dickey</t>
  </si>
  <si>
    <t>Hutchison</t>
  </si>
  <si>
    <t>Conklin</t>
  </si>
  <si>
    <t>Hoskins</t>
  </si>
  <si>
    <t>Holbrook</t>
  </si>
  <si>
    <t>Horner</t>
  </si>
  <si>
    <t>Neely</t>
  </si>
  <si>
    <t>Tatum</t>
  </si>
  <si>
    <t>Hollingsworth</t>
  </si>
  <si>
    <t>Draper</t>
  </si>
  <si>
    <t>Clement</t>
  </si>
  <si>
    <t>Lord</t>
  </si>
  <si>
    <t>Reece</t>
  </si>
  <si>
    <t>Feldman</t>
  </si>
  <si>
    <t>Kay</t>
  </si>
  <si>
    <t>Hagen</t>
  </si>
  <si>
    <t>Crews</t>
  </si>
  <si>
    <t>Bowles</t>
  </si>
  <si>
    <t>Post</t>
  </si>
  <si>
    <t>Jewell</t>
  </si>
  <si>
    <t>Daley</t>
  </si>
  <si>
    <t>Cordero</t>
  </si>
  <si>
    <t>Mckinley</t>
  </si>
  <si>
    <t>Velasco</t>
  </si>
  <si>
    <t>Masters</t>
  </si>
  <si>
    <t>Driscoll</t>
  </si>
  <si>
    <t>Burrell</t>
  </si>
  <si>
    <t>Valle</t>
  </si>
  <si>
    <t>Crow</t>
  </si>
  <si>
    <t>Devine</t>
  </si>
  <si>
    <t>Larkin</t>
  </si>
  <si>
    <t>Chappell</t>
  </si>
  <si>
    <t>Pollock</t>
  </si>
  <si>
    <t>Kimball</t>
  </si>
  <si>
    <t>Ly</t>
  </si>
  <si>
    <t>Schmitz</t>
  </si>
  <si>
    <t>Lu</t>
  </si>
  <si>
    <t>Rubin</t>
  </si>
  <si>
    <t>Self</t>
  </si>
  <si>
    <t>Barrios</t>
  </si>
  <si>
    <t>Pereira</t>
  </si>
  <si>
    <t>Phipps</t>
  </si>
  <si>
    <t>Mcmanus</t>
  </si>
  <si>
    <t>Nance</t>
  </si>
  <si>
    <t>Steiner</t>
  </si>
  <si>
    <t>Crockett</t>
  </si>
  <si>
    <t>Jeffries</t>
  </si>
  <si>
    <t>Nix</t>
  </si>
  <si>
    <t>Newsome</t>
  </si>
  <si>
    <t>Dooley</t>
  </si>
  <si>
    <t>Rosen</t>
  </si>
  <si>
    <t>Swenson</t>
  </si>
  <si>
    <t>Connelly</t>
  </si>
  <si>
    <t>Tolbert</t>
  </si>
  <si>
    <t>Segura</t>
  </si>
  <si>
    <t>Esposito</t>
  </si>
  <si>
    <t>Coker</t>
  </si>
  <si>
    <t>Biggs</t>
  </si>
  <si>
    <t>Hinkle</t>
  </si>
  <si>
    <t>Thurman</t>
  </si>
  <si>
    <t>Drew</t>
  </si>
  <si>
    <t>Ivey</t>
  </si>
  <si>
    <t>Bullard</t>
  </si>
  <si>
    <t>Baez</t>
  </si>
  <si>
    <t>Neff</t>
  </si>
  <si>
    <t>Maher</t>
  </si>
  <si>
    <t>Stratton</t>
  </si>
  <si>
    <t>Egan</t>
  </si>
  <si>
    <t>Dubois</t>
  </si>
  <si>
    <t>Gallardo</t>
  </si>
  <si>
    <t>Blue</t>
  </si>
  <si>
    <t>Rainey</t>
  </si>
  <si>
    <t>Yeager</t>
  </si>
  <si>
    <t>Saucedo</t>
  </si>
  <si>
    <t>Ferreira</t>
  </si>
  <si>
    <t>Sprague</t>
  </si>
  <si>
    <t>Lacy</t>
  </si>
  <si>
    <t>Hurtado</t>
  </si>
  <si>
    <t>Heard</t>
  </si>
  <si>
    <t>Connell</t>
  </si>
  <si>
    <t>Stahl</t>
  </si>
  <si>
    <t>Aldridge</t>
  </si>
  <si>
    <t>Amaya</t>
  </si>
  <si>
    <t>Forrest</t>
  </si>
  <si>
    <t>Erwin</t>
  </si>
  <si>
    <t>Gunn</t>
  </si>
  <si>
    <t>Swan</t>
  </si>
  <si>
    <t>Butcher</t>
  </si>
  <si>
    <t>Rosado</t>
  </si>
  <si>
    <t>Godwin</t>
  </si>
  <si>
    <t>Hand</t>
  </si>
  <si>
    <t>Gabriel</t>
  </si>
  <si>
    <t>Whaley</t>
  </si>
  <si>
    <t>Clifford</t>
  </si>
  <si>
    <t>Grove</t>
  </si>
  <si>
    <t>Beaver</t>
  </si>
  <si>
    <t>Silver</t>
  </si>
  <si>
    <t>Dang</t>
  </si>
  <si>
    <t>Hammer</t>
  </si>
  <si>
    <t>Boswell</t>
  </si>
  <si>
    <t>Mead</t>
  </si>
  <si>
    <t>Colvin</t>
  </si>
  <si>
    <t>Oleary</t>
  </si>
  <si>
    <t>Milligan</t>
  </si>
  <si>
    <t>Goins</t>
  </si>
  <si>
    <t>Dodge</t>
  </si>
  <si>
    <t>Kaur</t>
  </si>
  <si>
    <t>Escobedo</t>
  </si>
  <si>
    <t>Arredondo</t>
  </si>
  <si>
    <t>Geiger</t>
  </si>
  <si>
    <t>Winkler</t>
  </si>
  <si>
    <t>Dunham</t>
  </si>
  <si>
    <t>Temple</t>
  </si>
  <si>
    <t>Babcock</t>
  </si>
  <si>
    <t>Grimm</t>
  </si>
  <si>
    <t>Lilly</t>
  </si>
  <si>
    <t>Wesley</t>
  </si>
  <si>
    <t>Mcghee</t>
  </si>
  <si>
    <t>Painter</t>
  </si>
  <si>
    <t>Siegel</t>
  </si>
  <si>
    <t>Bower</t>
  </si>
  <si>
    <t>Purcell</t>
  </si>
  <si>
    <t>Block</t>
  </si>
  <si>
    <t>Aguilera</t>
  </si>
  <si>
    <t>Norwood</t>
  </si>
  <si>
    <t>Sheridan</t>
  </si>
  <si>
    <t>Davison</t>
  </si>
  <si>
    <t>Ramey</t>
  </si>
  <si>
    <t>Koenig</t>
  </si>
  <si>
    <t>Kraft</t>
  </si>
  <si>
    <t>Bunch</t>
  </si>
  <si>
    <t>Engel</t>
  </si>
  <si>
    <t>Tan</t>
  </si>
  <si>
    <t>Winn</t>
  </si>
  <si>
    <t>Steward</t>
  </si>
  <si>
    <t>Link</t>
  </si>
  <si>
    <t>Vickers</t>
  </si>
  <si>
    <t>Bragg</t>
  </si>
  <si>
    <t>Huggins</t>
  </si>
  <si>
    <t>Michel</t>
  </si>
  <si>
    <t>Healy</t>
  </si>
  <si>
    <t>Jacob</t>
  </si>
  <si>
    <t>Mcdonough</t>
  </si>
  <si>
    <t>Wolff</t>
  </si>
  <si>
    <t>Colbert</t>
  </si>
  <si>
    <t>Zepeda</t>
  </si>
  <si>
    <t>Hoang</t>
  </si>
  <si>
    <t>Dugan</t>
  </si>
  <si>
    <t>Kilgore</t>
  </si>
  <si>
    <t>Meade</t>
  </si>
  <si>
    <t>Guillen</t>
  </si>
  <si>
    <t>Do</t>
  </si>
  <si>
    <t>Hinojosa</t>
  </si>
  <si>
    <t>Goode</t>
  </si>
  <si>
    <t>Arrington</t>
  </si>
  <si>
    <t>Snell</t>
  </si>
  <si>
    <t>Renteria</t>
  </si>
  <si>
    <t>Chacon</t>
  </si>
  <si>
    <t>Hankins</t>
  </si>
  <si>
    <t>Montano</t>
  </si>
  <si>
    <t>Browne</t>
  </si>
  <si>
    <t>Ohara</t>
  </si>
  <si>
    <t>Cornell</t>
  </si>
  <si>
    <t>Sherwood</t>
  </si>
  <si>
    <t>Castellanos</t>
  </si>
  <si>
    <t>Thorpe</t>
  </si>
  <si>
    <t>Stiles</t>
  </si>
  <si>
    <t>Sadler</t>
  </si>
  <si>
    <t>Latham</t>
  </si>
  <si>
    <t>Redmond</t>
  </si>
  <si>
    <t>Greenberg</t>
  </si>
  <si>
    <t>Cote</t>
  </si>
  <si>
    <t>Waddell</t>
  </si>
  <si>
    <t>Dukes</t>
  </si>
  <si>
    <t>Diamond</t>
  </si>
  <si>
    <t>Bui</t>
  </si>
  <si>
    <t>Madrid</t>
  </si>
  <si>
    <t>Alonso</t>
  </si>
  <si>
    <t>Sheets</t>
  </si>
  <si>
    <t>Irvin</t>
  </si>
  <si>
    <t>Hurt</t>
  </si>
  <si>
    <t>Ferris</t>
  </si>
  <si>
    <t>Sewell</t>
  </si>
  <si>
    <t>Carlton</t>
  </si>
  <si>
    <t>Aragon</t>
  </si>
  <si>
    <t>Blackmon</t>
  </si>
  <si>
    <t>Hadley</t>
  </si>
  <si>
    <t>Hoyt</t>
  </si>
  <si>
    <t>Mcgraw</t>
  </si>
  <si>
    <t>Pagan</t>
  </si>
  <si>
    <t>Land</t>
  </si>
  <si>
    <t>Tidwell</t>
  </si>
  <si>
    <t>Lovell</t>
  </si>
  <si>
    <t>Miner</t>
  </si>
  <si>
    <t>Doss</t>
  </si>
  <si>
    <t>Dahl</t>
  </si>
  <si>
    <t>Delatorre</t>
  </si>
  <si>
    <t>Stanford</t>
  </si>
  <si>
    <t>Kauffman</t>
  </si>
  <si>
    <t>Vela</t>
  </si>
  <si>
    <t>Gagnon</t>
  </si>
  <si>
    <t>Winston</t>
  </si>
  <si>
    <t>Gomes</t>
  </si>
  <si>
    <t>Thacker</t>
  </si>
  <si>
    <t>Coronado</t>
  </si>
  <si>
    <t>Ash</t>
  </si>
  <si>
    <t>Jarrett</t>
  </si>
  <si>
    <t>Hager</t>
  </si>
  <si>
    <t>Samuels</t>
  </si>
  <si>
    <t>Metzger</t>
  </si>
  <si>
    <t>Raines</t>
  </si>
  <si>
    <t>Spivey</t>
  </si>
  <si>
    <t>Maurer</t>
  </si>
  <si>
    <t>Han</t>
  </si>
  <si>
    <t>Voss</t>
  </si>
  <si>
    <t>Henley</t>
  </si>
  <si>
    <t>Caballero</t>
  </si>
  <si>
    <t>Coulter</t>
  </si>
  <si>
    <t>North</t>
  </si>
  <si>
    <t>Finn</t>
  </si>
  <si>
    <t>Cahill</t>
  </si>
  <si>
    <t>Lanier</t>
  </si>
  <si>
    <t>Souza</t>
  </si>
  <si>
    <t>Mcwilliams</t>
  </si>
  <si>
    <t>Deal</t>
  </si>
  <si>
    <t>Schaffer</t>
  </si>
  <si>
    <t>Urban</t>
  </si>
  <si>
    <t>Houser</t>
  </si>
  <si>
    <t>Romo</t>
  </si>
  <si>
    <t>Crocker</t>
  </si>
  <si>
    <t>Bassett</t>
  </si>
  <si>
    <t>Kruse</t>
  </si>
  <si>
    <t>Bolden</t>
  </si>
  <si>
    <t>Ybarra</t>
  </si>
  <si>
    <t>Metz</t>
  </si>
  <si>
    <t>Root</t>
  </si>
  <si>
    <t>Mcmullen</t>
  </si>
  <si>
    <t>Crump</t>
  </si>
  <si>
    <t>Hagan</t>
  </si>
  <si>
    <t>Guidry</t>
  </si>
  <si>
    <t>Brantley</t>
  </si>
  <si>
    <t>Kearney</t>
  </si>
  <si>
    <t>Beal</t>
  </si>
  <si>
    <t>Toth</t>
  </si>
  <si>
    <t>Jorgensen</t>
  </si>
  <si>
    <t>Timmons</t>
  </si>
  <si>
    <t>Milton</t>
  </si>
  <si>
    <t>Tripp</t>
  </si>
  <si>
    <t>Hurd</t>
  </si>
  <si>
    <t>Sapp</t>
  </si>
  <si>
    <t>Whitman</t>
  </si>
  <si>
    <t>Messer</t>
  </si>
  <si>
    <t>Burgos</t>
  </si>
  <si>
    <t>Major</t>
  </si>
  <si>
    <t>Westbrook</t>
  </si>
  <si>
    <t>Castle</t>
  </si>
  <si>
    <t>Serna</t>
  </si>
  <si>
    <t>Carlisle</t>
  </si>
  <si>
    <t>Varela</t>
  </si>
  <si>
    <t>Cullen</t>
  </si>
  <si>
    <t>Wilhelm</t>
  </si>
  <si>
    <t>Bergeron</t>
  </si>
  <si>
    <t>Burger</t>
  </si>
  <si>
    <t>Posey</t>
  </si>
  <si>
    <t>Barnhart</t>
  </si>
  <si>
    <t>Hackett</t>
  </si>
  <si>
    <t>Madrigal</t>
  </si>
  <si>
    <t>Eubanks</t>
  </si>
  <si>
    <t>Sizemore</t>
  </si>
  <si>
    <t>Hilliard</t>
  </si>
  <si>
    <t>Hargrove</t>
  </si>
  <si>
    <t>Boucher</t>
  </si>
  <si>
    <t>Thomason</t>
  </si>
  <si>
    <t>Melvin</t>
  </si>
  <si>
    <t>Roper</t>
  </si>
  <si>
    <t>Barnard</t>
  </si>
  <si>
    <t>Fonseca</t>
  </si>
  <si>
    <t>Pedersen</t>
  </si>
  <si>
    <t>Quiroz</t>
  </si>
  <si>
    <t>Washburn</t>
  </si>
  <si>
    <t>Holliday</t>
  </si>
  <si>
    <t>Yee</t>
  </si>
  <si>
    <t>Rudolph</t>
  </si>
  <si>
    <t>Bermudez</t>
  </si>
  <si>
    <t>Coyle</t>
  </si>
  <si>
    <t>Gil</t>
  </si>
  <si>
    <t>Goodrich</t>
  </si>
  <si>
    <t>Pina</t>
  </si>
  <si>
    <t>Lockwood</t>
  </si>
  <si>
    <t>Cabral</t>
  </si>
  <si>
    <t>Carranza</t>
  </si>
  <si>
    <t>Cornelius</t>
  </si>
  <si>
    <t>Mccollum</t>
  </si>
  <si>
    <t>Street</t>
  </si>
  <si>
    <t>Mcneal</t>
  </si>
  <si>
    <t>Connors</t>
  </si>
  <si>
    <t>Angel</t>
  </si>
  <si>
    <t>Paulson</t>
  </si>
  <si>
    <t>Hinson</t>
  </si>
  <si>
    <t>Keenan</t>
  </si>
  <si>
    <t>Sheldon</t>
  </si>
  <si>
    <t>Farr</t>
  </si>
  <si>
    <t>Eddy</t>
  </si>
  <si>
    <t>Samuel</t>
  </si>
  <si>
    <t>Ledbetter</t>
  </si>
  <si>
    <t>Ring</t>
  </si>
  <si>
    <t>Betts</t>
  </si>
  <si>
    <t>Fontenot</t>
  </si>
  <si>
    <t>Gifford</t>
  </si>
  <si>
    <t>Hannah</t>
  </si>
  <si>
    <t>Hanley</t>
  </si>
  <si>
    <t>Person</t>
  </si>
  <si>
    <t>Fountain</t>
  </si>
  <si>
    <t>Levin</t>
  </si>
  <si>
    <t>Stubbs</t>
  </si>
  <si>
    <t>Hightower</t>
  </si>
  <si>
    <t>Murdock</t>
  </si>
  <si>
    <t>Koehler</t>
  </si>
  <si>
    <t>Ma</t>
  </si>
  <si>
    <t>Engle</t>
  </si>
  <si>
    <t>Smiley</t>
  </si>
  <si>
    <t>Sheffield</t>
  </si>
  <si>
    <t>Langston</t>
  </si>
  <si>
    <t>Mccracken</t>
  </si>
  <si>
    <t>Yost</t>
  </si>
  <si>
    <t>Trotter</t>
  </si>
  <si>
    <t>Story</t>
  </si>
  <si>
    <t>Starks</t>
  </si>
  <si>
    <t>Lujan</t>
  </si>
  <si>
    <t>Blount</t>
  </si>
  <si>
    <t>Cody</t>
  </si>
  <si>
    <t>Rushing</t>
  </si>
  <si>
    <t>Herndon</t>
  </si>
  <si>
    <t>Jacobsen</t>
  </si>
  <si>
    <t>Nieto</t>
  </si>
  <si>
    <t>Wiseman</t>
  </si>
  <si>
    <t>Layton</t>
  </si>
  <si>
    <t>Shipley</t>
  </si>
  <si>
    <t>Leyva</t>
  </si>
  <si>
    <t>Reeder</t>
  </si>
  <si>
    <t>Brand</t>
  </si>
  <si>
    <t>Roland</t>
  </si>
  <si>
    <t>Fitch</t>
  </si>
  <si>
    <t>Rico</t>
  </si>
  <si>
    <t>Napier</t>
  </si>
  <si>
    <t>Cronin</t>
  </si>
  <si>
    <t>Mcqueen</t>
  </si>
  <si>
    <t>Paredes</t>
  </si>
  <si>
    <t>Trent</t>
  </si>
  <si>
    <t>Christiansen</t>
  </si>
  <si>
    <t>Pettit</t>
  </si>
  <si>
    <t>Spangler</t>
  </si>
  <si>
    <t>Langford</t>
  </si>
  <si>
    <t>Benavides</t>
  </si>
  <si>
    <t>Penn</t>
  </si>
  <si>
    <t>Weir</t>
  </si>
  <si>
    <t>Dietz</t>
  </si>
  <si>
    <t>Prater</t>
  </si>
  <si>
    <t>Diehl</t>
  </si>
  <si>
    <t>Pack</t>
  </si>
  <si>
    <t>Spaulding</t>
  </si>
  <si>
    <t>Aviles</t>
  </si>
  <si>
    <t>Nowak</t>
  </si>
  <si>
    <t>Olvera</t>
  </si>
  <si>
    <t>Rock</t>
  </si>
  <si>
    <t>Mansfield</t>
  </si>
  <si>
    <t>Aquino</t>
  </si>
  <si>
    <t>Ogden</t>
  </si>
  <si>
    <t>Stacy</t>
  </si>
  <si>
    <t>Rizzo</t>
  </si>
  <si>
    <t>Gillis</t>
  </si>
  <si>
    <t>Sands</t>
  </si>
  <si>
    <t>Machado</t>
  </si>
  <si>
    <t>Lovett</t>
  </si>
  <si>
    <t>Duong</t>
  </si>
  <si>
    <t>Hyatt</t>
  </si>
  <si>
    <t>Landis</t>
  </si>
  <si>
    <t>Platt</t>
  </si>
  <si>
    <t>Bustamante</t>
  </si>
  <si>
    <t>Hedrick</t>
  </si>
  <si>
    <t>Pritchett</t>
  </si>
  <si>
    <t>Gaston</t>
  </si>
  <si>
    <t>Dobson</t>
  </si>
  <si>
    <t>Caudill</t>
  </si>
  <si>
    <t>Tackett</t>
  </si>
  <si>
    <t>Bateman</t>
  </si>
  <si>
    <t>Landers</t>
  </si>
  <si>
    <t>Carmona</t>
  </si>
  <si>
    <t>Gipson</t>
  </si>
  <si>
    <t>Uribe</t>
  </si>
  <si>
    <t>Mcneill</t>
  </si>
  <si>
    <t>Ledford</t>
  </si>
  <si>
    <t>Mims</t>
  </si>
  <si>
    <t>Abel</t>
  </si>
  <si>
    <t>Smallwood</t>
  </si>
  <si>
    <t>Thorne</t>
  </si>
  <si>
    <t>Mchugh</t>
  </si>
  <si>
    <t>Dickens</t>
  </si>
  <si>
    <t>Leung</t>
  </si>
  <si>
    <t>Tobin</t>
  </si>
  <si>
    <t>Medeiros</t>
  </si>
  <si>
    <t>Cope</t>
  </si>
  <si>
    <t>Kraus</t>
  </si>
  <si>
    <t>Quezada</t>
  </si>
  <si>
    <t>Overton</t>
  </si>
  <si>
    <t>Montalvo</t>
  </si>
  <si>
    <t>Staley</t>
  </si>
  <si>
    <t>Woody</t>
  </si>
  <si>
    <t>Hathaway</t>
  </si>
  <si>
    <t>Osorio</t>
  </si>
  <si>
    <t>Laird</t>
  </si>
  <si>
    <t>Capps</t>
  </si>
  <si>
    <t>Lay</t>
  </si>
  <si>
    <t>Francisco</t>
  </si>
  <si>
    <t>Adair</t>
  </si>
  <si>
    <t>Bernstein</t>
  </si>
  <si>
    <t>Hutton</t>
  </si>
  <si>
    <t>Burkett</t>
  </si>
  <si>
    <t>Rhoades</t>
  </si>
  <si>
    <t>Richey</t>
  </si>
  <si>
    <t>Yanez</t>
  </si>
  <si>
    <t>Bledsoe</t>
  </si>
  <si>
    <t>Mccain</t>
  </si>
  <si>
    <t>Beyer</t>
  </si>
  <si>
    <t>Cates</t>
  </si>
  <si>
    <t>Roche</t>
  </si>
  <si>
    <t>Spicer</t>
  </si>
  <si>
    <t>Queen</t>
  </si>
  <si>
    <t>Doty</t>
  </si>
  <si>
    <t>Darling</t>
  </si>
  <si>
    <t>Darby</t>
  </si>
  <si>
    <t>Sumner</t>
  </si>
  <si>
    <t>Kincaid</t>
  </si>
  <si>
    <t>Hay</t>
  </si>
  <si>
    <t>Grossman</t>
  </si>
  <si>
    <t>Lacey</t>
  </si>
  <si>
    <t>Wilkes</t>
  </si>
  <si>
    <t>Humphries</t>
  </si>
  <si>
    <t>Paz</t>
  </si>
  <si>
    <t>Darnell</t>
  </si>
  <si>
    <t>Keys</t>
  </si>
  <si>
    <t>Lackey</t>
  </si>
  <si>
    <t>Vogt</t>
  </si>
  <si>
    <t>Locklear</t>
  </si>
  <si>
    <t>Kiser</t>
  </si>
  <si>
    <t>Presley</t>
  </si>
  <si>
    <t>Bryson</t>
  </si>
  <si>
    <t>Peoples</t>
  </si>
  <si>
    <t>Fair</t>
  </si>
  <si>
    <t>Mcclendon</t>
  </si>
  <si>
    <t>Corley</t>
  </si>
  <si>
    <t>Prado</t>
  </si>
  <si>
    <t>Christie</t>
  </si>
  <si>
    <t>Delong</t>
  </si>
  <si>
    <t>Skaggs</t>
  </si>
  <si>
    <t>Dill</t>
  </si>
  <si>
    <t>Shearer</t>
  </si>
  <si>
    <t>Judd</t>
  </si>
  <si>
    <t>Flaherty</t>
  </si>
  <si>
    <t>Casillas</t>
  </si>
  <si>
    <t>Pinto</t>
  </si>
  <si>
    <t>Haywood</t>
  </si>
  <si>
    <t>Toney</t>
  </si>
  <si>
    <t>Ricks</t>
  </si>
  <si>
    <t>Granados</t>
  </si>
  <si>
    <t>Crum</t>
  </si>
  <si>
    <t>Triplett</t>
  </si>
  <si>
    <t>Soriano</t>
  </si>
  <si>
    <t>Waite</t>
  </si>
  <si>
    <t>Hoff</t>
  </si>
  <si>
    <t>Anaya</t>
  </si>
  <si>
    <t>Crenshaw</t>
  </si>
  <si>
    <t>Jung</t>
  </si>
  <si>
    <t>Canales</t>
  </si>
  <si>
    <t>Cagle</t>
  </si>
  <si>
    <t>Denny</t>
  </si>
  <si>
    <t>Marcus</t>
  </si>
  <si>
    <t>Berman</t>
  </si>
  <si>
    <t>Munson</t>
  </si>
  <si>
    <t>Ocampo</t>
  </si>
  <si>
    <t>Bauman</t>
  </si>
  <si>
    <t>Corcoran</t>
  </si>
  <si>
    <t>Keen</t>
  </si>
  <si>
    <t>Zimmer</t>
  </si>
  <si>
    <t>Friend</t>
  </si>
  <si>
    <t>Ornelas</t>
  </si>
  <si>
    <t>Varner</t>
  </si>
  <si>
    <t>Pelletier</t>
  </si>
  <si>
    <t>Vernon</t>
  </si>
  <si>
    <t>Blum</t>
  </si>
  <si>
    <t>Albrecht</t>
  </si>
  <si>
    <t>Culver</t>
  </si>
  <si>
    <t>Schuster</t>
  </si>
  <si>
    <t>Cuellar</t>
  </si>
  <si>
    <t>Mccord</t>
  </si>
  <si>
    <t>Shultz</t>
  </si>
  <si>
    <t>Mcrae</t>
  </si>
  <si>
    <t>Moreland</t>
  </si>
  <si>
    <t>Calvert</t>
  </si>
  <si>
    <t>Whittington</t>
  </si>
  <si>
    <t>Eckert</t>
  </si>
  <si>
    <t>Keene</t>
  </si>
  <si>
    <t>Mohr</t>
  </si>
  <si>
    <t>Hanks</t>
  </si>
  <si>
    <t>Kimble</t>
  </si>
  <si>
    <t>Cavanaugh</t>
  </si>
  <si>
    <t>Crowell</t>
  </si>
  <si>
    <t>Russ</t>
  </si>
  <si>
    <t>Feliciano</t>
  </si>
  <si>
    <t>Crain</t>
  </si>
  <si>
    <t>Busch</t>
  </si>
  <si>
    <t>Mccormack</t>
  </si>
  <si>
    <t>Omalley</t>
  </si>
  <si>
    <t>Aldrich</t>
  </si>
  <si>
    <t>Luke</t>
  </si>
  <si>
    <t>Greco</t>
  </si>
  <si>
    <t>Mott</t>
  </si>
  <si>
    <t>Oakes</t>
  </si>
  <si>
    <t>Mclain</t>
  </si>
  <si>
    <t>Burrows</t>
  </si>
  <si>
    <t>Otero</t>
  </si>
  <si>
    <t>Allred</t>
  </si>
  <si>
    <t>Eason</t>
  </si>
  <si>
    <t>Finney</t>
  </si>
  <si>
    <t>Weller</t>
  </si>
  <si>
    <t>Waldron</t>
  </si>
  <si>
    <t>Champion</t>
  </si>
  <si>
    <t>Jeffers</t>
  </si>
  <si>
    <t>Coon</t>
  </si>
  <si>
    <t>Rosenthal</t>
  </si>
  <si>
    <t>Huddleston</t>
  </si>
  <si>
    <t>Solano</t>
  </si>
  <si>
    <t>Hirsch</t>
  </si>
  <si>
    <t>Akins</t>
  </si>
  <si>
    <t>Olivares</t>
  </si>
  <si>
    <t>Song</t>
  </si>
  <si>
    <t>Sneed</t>
  </si>
  <si>
    <t>Bain</t>
  </si>
  <si>
    <t>Okeefe</t>
  </si>
  <si>
    <t>Hidalgo</t>
  </si>
  <si>
    <t>Matos</t>
  </si>
  <si>
    <t>Stallings</t>
  </si>
  <si>
    <t>Paris</t>
  </si>
  <si>
    <t>Gamez</t>
  </si>
  <si>
    <t>Kenny</t>
  </si>
  <si>
    <t>Quigley</t>
  </si>
  <si>
    <t>Marrero</t>
  </si>
  <si>
    <t>Fagan</t>
  </si>
  <si>
    <t>Dutton</t>
  </si>
  <si>
    <t>Atwood</t>
  </si>
  <si>
    <t>Pappas</t>
  </si>
  <si>
    <t>Bagley</t>
  </si>
  <si>
    <t>Mcgovern</t>
  </si>
  <si>
    <t>Lunsford</t>
  </si>
  <si>
    <t>Moseley</t>
  </si>
  <si>
    <t>Read</t>
  </si>
  <si>
    <t>Oakley</t>
  </si>
  <si>
    <t>Ashby</t>
  </si>
  <si>
    <t>Granger</t>
  </si>
  <si>
    <t>Shaver</t>
  </si>
  <si>
    <t>Hope</t>
  </si>
  <si>
    <t>Helm</t>
  </si>
  <si>
    <t>Ambrose</t>
  </si>
  <si>
    <t>Neumann</t>
  </si>
  <si>
    <t>Prescott</t>
  </si>
  <si>
    <t>Light</t>
  </si>
  <si>
    <t>Dumas</t>
  </si>
  <si>
    <t>Flood</t>
  </si>
  <si>
    <t>Stringer</t>
  </si>
  <si>
    <t>Currie</t>
  </si>
  <si>
    <t>Geralyn</t>
  </si>
  <si>
    <t>Marina</t>
  </si>
  <si>
    <t>Lorita</t>
  </si>
  <si>
    <t>Tarah</t>
  </si>
  <si>
    <t>Krysta</t>
  </si>
  <si>
    <t>Janey</t>
  </si>
  <si>
    <t>Olene</t>
  </si>
  <si>
    <t>Magdalena</t>
  </si>
  <si>
    <t>Hilda</t>
  </si>
  <si>
    <t>Almeta</t>
  </si>
  <si>
    <t>Yoshie</t>
  </si>
  <si>
    <t>Shanelle</t>
  </si>
  <si>
    <t>Seema</t>
  </si>
  <si>
    <t>Caroll</t>
  </si>
  <si>
    <t>Barbera</t>
  </si>
  <si>
    <t>Verena</t>
  </si>
  <si>
    <t>Audria</t>
  </si>
  <si>
    <t>Chieko</t>
  </si>
  <si>
    <t>Maple</t>
  </si>
  <si>
    <t>Nila</t>
  </si>
  <si>
    <t>Mitsue</t>
  </si>
  <si>
    <t>Nanette</t>
  </si>
  <si>
    <t>Myrna</t>
  </si>
  <si>
    <t>Verlie</t>
  </si>
  <si>
    <t>Leana</t>
  </si>
  <si>
    <t>Desiree</t>
  </si>
  <si>
    <t>Christinia</t>
  </si>
  <si>
    <t>Trinity</t>
  </si>
  <si>
    <t>Maryjane</t>
  </si>
  <si>
    <t>Florentina</t>
  </si>
  <si>
    <t>Florrie</t>
  </si>
  <si>
    <t>Liberty</t>
  </si>
  <si>
    <t>So</t>
  </si>
  <si>
    <t>Eleonora</t>
  </si>
  <si>
    <t>Blanch</t>
  </si>
  <si>
    <t>Lavon</t>
  </si>
  <si>
    <t>Novella</t>
  </si>
  <si>
    <t>Eryn</t>
  </si>
  <si>
    <t>Farah</t>
  </si>
  <si>
    <t>Gregoria</t>
  </si>
  <si>
    <t>Jin</t>
  </si>
  <si>
    <t>Lavada</t>
  </si>
  <si>
    <t>Georgeann</t>
  </si>
  <si>
    <t>Clare</t>
  </si>
  <si>
    <t>Verlene</t>
  </si>
  <si>
    <t>Agustina</t>
  </si>
  <si>
    <t>Kimiko</t>
  </si>
  <si>
    <t>Melanie</t>
  </si>
  <si>
    <t>Terese</t>
  </si>
  <si>
    <t>Kary</t>
  </si>
  <si>
    <t>Joeann</t>
  </si>
  <si>
    <t>Sheilah</t>
  </si>
  <si>
    <t>Xiao</t>
  </si>
  <si>
    <t>Drusilla</t>
  </si>
  <si>
    <t>Eartha</t>
  </si>
  <si>
    <t>Babette</t>
  </si>
  <si>
    <t>Melisa</t>
  </si>
  <si>
    <t>Shawnda</t>
  </si>
  <si>
    <t>Fidelia</t>
  </si>
  <si>
    <t>Shellie</t>
  </si>
  <si>
    <t>Armida</t>
  </si>
  <si>
    <t>Bernardine</t>
  </si>
  <si>
    <t>Carolina</t>
  </si>
  <si>
    <t>Cherish</t>
  </si>
  <si>
    <t>Maryanne</t>
  </si>
  <si>
    <t>Matilde</t>
  </si>
  <si>
    <t>Hilma</t>
  </si>
  <si>
    <t>Kayleen</t>
  </si>
  <si>
    <t>Annamaria</t>
  </si>
  <si>
    <t>Calandra</t>
  </si>
  <si>
    <t>Loretta</t>
  </si>
  <si>
    <t>Lorie</t>
  </si>
  <si>
    <t>Leann</t>
  </si>
  <si>
    <t>Vicky</t>
  </si>
  <si>
    <t>Crissy</t>
  </si>
  <si>
    <t>Yaeko</t>
  </si>
  <si>
    <t>Delora</t>
  </si>
  <si>
    <t>Zora</t>
  </si>
  <si>
    <t>Jenine</t>
  </si>
  <si>
    <t>Nerissa</t>
  </si>
  <si>
    <t>Anh</t>
  </si>
  <si>
    <t>Lenora</t>
  </si>
  <si>
    <t>Belia</t>
  </si>
  <si>
    <t>Aline</t>
  </si>
  <si>
    <t>Hermila</t>
  </si>
  <si>
    <t>Kimberli</t>
  </si>
  <si>
    <t>Deonna</t>
  </si>
  <si>
    <t>Andria</t>
  </si>
  <si>
    <t>Donna</t>
  </si>
  <si>
    <t>Joycelyn</t>
  </si>
  <si>
    <t>Yasuko</t>
  </si>
  <si>
    <t>Goldie</t>
  </si>
  <si>
    <t>Sharice</t>
  </si>
  <si>
    <t>Marry</t>
  </si>
  <si>
    <t>Laureen</t>
  </si>
  <si>
    <t>Jaymie</t>
  </si>
  <si>
    <t>Lanette</t>
  </si>
  <si>
    <t>Nicholle</t>
  </si>
  <si>
    <t>Joline</t>
  </si>
  <si>
    <t>Maryam</t>
  </si>
  <si>
    <t>Brittny</t>
  </si>
  <si>
    <t>Kori</t>
  </si>
  <si>
    <t>Davina</t>
  </si>
  <si>
    <t>Laquanda</t>
  </si>
  <si>
    <t>Shanna</t>
  </si>
  <si>
    <t>Theressa</t>
  </si>
  <si>
    <t>Sachiko</t>
  </si>
  <si>
    <t>Natalia</t>
  </si>
  <si>
    <t>Veta</t>
  </si>
  <si>
    <t>Yi</t>
  </si>
  <si>
    <t>Caridad</t>
  </si>
  <si>
    <t>Hertha</t>
  </si>
  <si>
    <t>Dorthea</t>
  </si>
  <si>
    <t>Ammie</t>
  </si>
  <si>
    <t>Barbie</t>
  </si>
  <si>
    <t>Eleonor</t>
  </si>
  <si>
    <t>Lynna</t>
  </si>
  <si>
    <t>Camila</t>
  </si>
  <si>
    <t>Alline</t>
  </si>
  <si>
    <t>Cathy</t>
  </si>
  <si>
    <t>Natisha</t>
  </si>
  <si>
    <t>Leena</t>
  </si>
  <si>
    <t>Ofelia</t>
  </si>
  <si>
    <t>Lyda</t>
  </si>
  <si>
    <t>Denae</t>
  </si>
  <si>
    <t>Tomi</t>
  </si>
  <si>
    <t>Regine</t>
  </si>
  <si>
    <t>Nellie</t>
  </si>
  <si>
    <t>Floria</t>
  </si>
  <si>
    <t>Marlo</t>
  </si>
  <si>
    <t>Emilia</t>
  </si>
  <si>
    <t>Jeane</t>
  </si>
  <si>
    <t>Blondell</t>
  </si>
  <si>
    <t>Charlesetta</t>
  </si>
  <si>
    <t>Khadijah</t>
  </si>
  <si>
    <t>Takisha</t>
  </si>
  <si>
    <t>Danette</t>
  </si>
  <si>
    <t>Roxana</t>
  </si>
  <si>
    <t>Elinore</t>
  </si>
  <si>
    <t>Treva</t>
  </si>
  <si>
    <t>Olympia</t>
  </si>
  <si>
    <t>Mavis</t>
  </si>
  <si>
    <t>Peggie</t>
  </si>
  <si>
    <t>Jama</t>
  </si>
  <si>
    <t>Latrice</t>
  </si>
  <si>
    <t>Sharyn</t>
  </si>
  <si>
    <t>Vernell</t>
  </si>
  <si>
    <t>Treena</t>
  </si>
  <si>
    <t>Maire</t>
  </si>
  <si>
    <t>Mitsuko</t>
  </si>
  <si>
    <t>Yvonne</t>
  </si>
  <si>
    <t>Bok</t>
  </si>
  <si>
    <t>Arminda</t>
  </si>
  <si>
    <t>Kandi</t>
  </si>
  <si>
    <t>Cassi</t>
  </si>
  <si>
    <t>Silvana</t>
  </si>
  <si>
    <t>Yolanda</t>
  </si>
  <si>
    <t>Gianna</t>
  </si>
  <si>
    <t>Michiko</t>
  </si>
  <si>
    <t>Myrtie</t>
  </si>
  <si>
    <t>Marhta</t>
  </si>
  <si>
    <t>Lavone</t>
  </si>
  <si>
    <t>Monica</t>
  </si>
  <si>
    <t>Lissette</t>
  </si>
  <si>
    <t>Cherrie</t>
  </si>
  <si>
    <t>Vena</t>
  </si>
  <si>
    <t>Tish</t>
  </si>
  <si>
    <t>Maryln</t>
  </si>
  <si>
    <t>Rea</t>
  </si>
  <si>
    <t>Arnita</t>
  </si>
  <si>
    <t>Lora</t>
  </si>
  <si>
    <t>Carissa</t>
  </si>
  <si>
    <t>Merideth</t>
  </si>
  <si>
    <t>Kia</t>
  </si>
  <si>
    <t>Olevia</t>
  </si>
  <si>
    <t>Rosie</t>
  </si>
  <si>
    <t>Christiane</t>
  </si>
  <si>
    <t>Flo</t>
  </si>
  <si>
    <t>Marylynn</t>
  </si>
  <si>
    <t>Neva</t>
  </si>
  <si>
    <t>Azalee</t>
  </si>
  <si>
    <t>Ossie</t>
  </si>
  <si>
    <t>Gisela</t>
  </si>
  <si>
    <t>Elanor</t>
  </si>
  <si>
    <t>Alexandria</t>
  </si>
  <si>
    <t>Angele</t>
  </si>
  <si>
    <t>Kelsi</t>
  </si>
  <si>
    <t>Florida</t>
  </si>
  <si>
    <t>Edda</t>
  </si>
  <si>
    <t>Ocie</t>
  </si>
  <si>
    <t>Nikita</t>
  </si>
  <si>
    <t>Angelica</t>
  </si>
  <si>
    <t>Cathrine</t>
  </si>
  <si>
    <t>Stephaine</t>
  </si>
  <si>
    <t>Concha</t>
  </si>
  <si>
    <t>Joannie</t>
  </si>
  <si>
    <t>Marianne</t>
  </si>
  <si>
    <t>Tawana</t>
  </si>
  <si>
    <t>Wonda</t>
  </si>
  <si>
    <t>Juanita</t>
  </si>
  <si>
    <t>Tess</t>
  </si>
  <si>
    <t>Avis</t>
  </si>
  <si>
    <t>Mireya</t>
  </si>
  <si>
    <t>Amparo</t>
  </si>
  <si>
    <t>Veda</t>
  </si>
  <si>
    <t>Phylis</t>
  </si>
  <si>
    <t>Celena</t>
  </si>
  <si>
    <t>Beata</t>
  </si>
  <si>
    <t>Adina</t>
  </si>
  <si>
    <t>Aida</t>
  </si>
  <si>
    <t>Vivan</t>
  </si>
  <si>
    <t>Elizabet</t>
  </si>
  <si>
    <t>Delma</t>
  </si>
  <si>
    <t>Joette</t>
  </si>
  <si>
    <t>Carry</t>
  </si>
  <si>
    <t>Julieta</t>
  </si>
  <si>
    <t>Golda</t>
  </si>
  <si>
    <t>Keeley</t>
  </si>
  <si>
    <t>Anjelica</t>
  </si>
  <si>
    <t>June</t>
  </si>
  <si>
    <t>Elfriede</t>
  </si>
  <si>
    <t>Eura</t>
  </si>
  <si>
    <t>Rocio</t>
  </si>
  <si>
    <t>Criselda</t>
  </si>
  <si>
    <t>Sheryl</t>
  </si>
  <si>
    <t>Nelida</t>
  </si>
  <si>
    <t>Hedwig</t>
  </si>
  <si>
    <t>Glenda</t>
  </si>
  <si>
    <t>Madalene</t>
  </si>
  <si>
    <t>Britany</t>
  </si>
  <si>
    <t>Serina</t>
  </si>
  <si>
    <t>Merry</t>
  </si>
  <si>
    <t>Nettie</t>
  </si>
  <si>
    <t>Francina</t>
  </si>
  <si>
    <t>Gena</t>
  </si>
  <si>
    <t>Roxane</t>
  </si>
  <si>
    <t>Latoria</t>
  </si>
  <si>
    <t>Jeannette</t>
  </si>
  <si>
    <t>Michelle</t>
  </si>
  <si>
    <t>Stacia</t>
  </si>
  <si>
    <t>Alyson</t>
  </si>
  <si>
    <t>Davida</t>
  </si>
  <si>
    <t>Khalilah</t>
  </si>
  <si>
    <t>Kenda</t>
  </si>
  <si>
    <t>Waneta</t>
  </si>
  <si>
    <t>Maisie</t>
  </si>
  <si>
    <t>Nora</t>
  </si>
  <si>
    <t>Ardis</t>
  </si>
  <si>
    <t>Melodie</t>
  </si>
  <si>
    <t>Louvenia</t>
  </si>
  <si>
    <t>Cortney</t>
  </si>
  <si>
    <t>Jennifer</t>
  </si>
  <si>
    <t>Sherryl</t>
  </si>
  <si>
    <t>Adelia</t>
  </si>
  <si>
    <t>Tressa</t>
  </si>
  <si>
    <t>Chere</t>
  </si>
  <si>
    <t>Ludie</t>
  </si>
  <si>
    <t>Viva</t>
  </si>
  <si>
    <t>Tashina</t>
  </si>
  <si>
    <t>Tinisha</t>
  </si>
  <si>
    <t>Monika</t>
  </si>
  <si>
    <t>Honey</t>
  </si>
  <si>
    <t>Lottie</t>
  </si>
  <si>
    <t>Johana</t>
  </si>
  <si>
    <t>Lorean</t>
  </si>
  <si>
    <t>Sparkle</t>
  </si>
  <si>
    <t>Dedra</t>
  </si>
  <si>
    <t>Marquerite</t>
  </si>
  <si>
    <t>Mirella</t>
  </si>
  <si>
    <t>Bobbye</t>
  </si>
  <si>
    <t>Shaniqua</t>
  </si>
  <si>
    <t>Mabelle</t>
  </si>
  <si>
    <t>Nella</t>
  </si>
  <si>
    <t>Charolette</t>
  </si>
  <si>
    <t>Toya</t>
  </si>
  <si>
    <t>Carolyne</t>
  </si>
  <si>
    <t>Carlota</t>
  </si>
  <si>
    <t>Malia</t>
  </si>
  <si>
    <t>Clementine</t>
  </si>
  <si>
    <t>Lanora</t>
  </si>
  <si>
    <t>Melba</t>
  </si>
  <si>
    <t>Merna</t>
  </si>
  <si>
    <t>Tiesha</t>
  </si>
  <si>
    <t>Vannesa</t>
  </si>
  <si>
    <t>Spring</t>
  </si>
  <si>
    <t>Sherise</t>
  </si>
  <si>
    <t>Vivienne</t>
  </si>
  <si>
    <t>Annetta</t>
  </si>
  <si>
    <t>Alejandrina</t>
  </si>
  <si>
    <t>Camie</t>
  </si>
  <si>
    <t>Chanelle</t>
  </si>
  <si>
    <t>Kareen</t>
  </si>
  <si>
    <t>Malka</t>
  </si>
  <si>
    <t>Lesa</t>
  </si>
  <si>
    <t>Fabiola</t>
  </si>
  <si>
    <t>Sima</t>
  </si>
  <si>
    <t>Anamaria</t>
  </si>
  <si>
    <t>Bonita</t>
  </si>
  <si>
    <t>Kathlene</t>
  </si>
  <si>
    <t>Pansy</t>
  </si>
  <si>
    <t>Tia</t>
  </si>
  <si>
    <t>Euna</t>
  </si>
  <si>
    <t>Delfina</t>
  </si>
  <si>
    <t>Nicolle</t>
  </si>
  <si>
    <t>Genevieve</t>
  </si>
  <si>
    <t>Marisa</t>
  </si>
  <si>
    <t>Carolin</t>
  </si>
  <si>
    <t>Essie</t>
  </si>
  <si>
    <t>Loma</t>
  </si>
  <si>
    <t>Patsy</t>
  </si>
  <si>
    <t>Brunilda</t>
  </si>
  <si>
    <t>Jonie</t>
  </si>
  <si>
    <t>Joellen</t>
  </si>
  <si>
    <t>Petrina</t>
  </si>
  <si>
    <t>Loura</t>
  </si>
  <si>
    <t>Adriene</t>
  </si>
  <si>
    <t>Leeanne</t>
  </si>
  <si>
    <t>Alesha</t>
  </si>
  <si>
    <t>Birgit</t>
  </si>
  <si>
    <t>Aretha</t>
  </si>
  <si>
    <t>Sherita</t>
  </si>
  <si>
    <t>Lisandra</t>
  </si>
  <si>
    <t>Evelyne</t>
  </si>
  <si>
    <t>Marcelene</t>
  </si>
  <si>
    <t>Shaina</t>
  </si>
  <si>
    <t>Maurine</t>
  </si>
  <si>
    <t>Sanda</t>
  </si>
  <si>
    <t>Tammara</t>
  </si>
  <si>
    <t>Eustolia</t>
  </si>
  <si>
    <t>Christal</t>
  </si>
  <si>
    <t>Catrina</t>
  </si>
  <si>
    <t>Evon</t>
  </si>
  <si>
    <t>Leila</t>
  </si>
  <si>
    <t>Lakesha</t>
  </si>
  <si>
    <t>Meghann</t>
  </si>
  <si>
    <t>Desire</t>
  </si>
  <si>
    <t>Saundra</t>
  </si>
  <si>
    <t>Elois</t>
  </si>
  <si>
    <t>Ai</t>
  </si>
  <si>
    <t>Pei</t>
  </si>
  <si>
    <t>Bao</t>
  </si>
  <si>
    <t>Miesha</t>
  </si>
  <si>
    <t>Karla</t>
  </si>
  <si>
    <t>Velia</t>
  </si>
  <si>
    <t>Suzann</t>
  </si>
  <si>
    <t>Natividad</t>
  </si>
  <si>
    <t>Particia</t>
  </si>
  <si>
    <t>Jacquetta</t>
  </si>
  <si>
    <t>Charlott</t>
  </si>
  <si>
    <t>Shiloh</t>
  </si>
  <si>
    <t>Elnora</t>
  </si>
  <si>
    <t>Veronika</t>
  </si>
  <si>
    <t>Adeline</t>
  </si>
  <si>
    <t>Meg</t>
  </si>
  <si>
    <t>Bee</t>
  </si>
  <si>
    <t>Merrie</t>
  </si>
  <si>
    <t>Sha</t>
  </si>
  <si>
    <t>Deborah</t>
  </si>
  <si>
    <t>Jacinta</t>
  </si>
  <si>
    <t>Dorathy</t>
  </si>
  <si>
    <t>Mariella</t>
  </si>
  <si>
    <t>Bobette</t>
  </si>
  <si>
    <t>Kanisha</t>
  </si>
  <si>
    <t>Rachael</t>
  </si>
  <si>
    <t>Trang</t>
  </si>
  <si>
    <t>Melany</t>
  </si>
  <si>
    <t>Bea</t>
  </si>
  <si>
    <t>Cleta</t>
  </si>
  <si>
    <t>Roseanna</t>
  </si>
  <si>
    <t>Faviola</t>
  </si>
  <si>
    <t>Tatyana</t>
  </si>
  <si>
    <t>Piedad</t>
  </si>
  <si>
    <t>Demetrice</t>
  </si>
  <si>
    <t>Juliann</t>
  </si>
  <si>
    <t>Halley</t>
  </si>
  <si>
    <t>Genevie</t>
  </si>
  <si>
    <t>Linette</t>
  </si>
  <si>
    <t>Ardell</t>
  </si>
  <si>
    <t>Danille</t>
  </si>
  <si>
    <t>Octavia</t>
  </si>
  <si>
    <t>Karma</t>
  </si>
  <si>
    <t>Cythia</t>
  </si>
  <si>
    <t>Willetta</t>
  </si>
  <si>
    <t>Carma</t>
  </si>
  <si>
    <t>Delinda</t>
  </si>
  <si>
    <t>Emelina</t>
  </si>
  <si>
    <t>Asuncion</t>
  </si>
  <si>
    <t>Marget</t>
  </si>
  <si>
    <t>Tona</t>
  </si>
  <si>
    <t>Eun</t>
  </si>
  <si>
    <t>Florene</t>
  </si>
  <si>
    <t>Tabetha</t>
  </si>
  <si>
    <t>Suk</t>
  </si>
  <si>
    <t>Lorri</t>
  </si>
  <si>
    <t>Rossie</t>
  </si>
  <si>
    <t>Jolynn</t>
  </si>
  <si>
    <t>Jayme</t>
  </si>
  <si>
    <t>Coretta</t>
  </si>
  <si>
    <t>Reda</t>
  </si>
  <si>
    <t>Latia</t>
  </si>
  <si>
    <t>Vivian</t>
  </si>
  <si>
    <t>Lashaunda</t>
  </si>
  <si>
    <t>Glenna</t>
  </si>
  <si>
    <t>Jolyn</t>
  </si>
  <si>
    <t>Nu</t>
  </si>
  <si>
    <t>Sonya</t>
  </si>
  <si>
    <t>Delois</t>
  </si>
  <si>
    <t>Shavon</t>
  </si>
  <si>
    <t>Cleotilde</t>
  </si>
  <si>
    <t>Matha</t>
  </si>
  <si>
    <t>Carolyn</t>
  </si>
  <si>
    <t>Theodora</t>
  </si>
  <si>
    <t>Merlene</t>
  </si>
  <si>
    <t>Kimbra</t>
  </si>
  <si>
    <t>Liza</t>
  </si>
  <si>
    <t>Antonette</t>
  </si>
  <si>
    <t>Nicol</t>
  </si>
  <si>
    <t>Margarite</t>
  </si>
  <si>
    <t>Cher</t>
  </si>
  <si>
    <t>Tanja</t>
  </si>
  <si>
    <t>Mikaela</t>
  </si>
  <si>
    <t>Shira</t>
  </si>
  <si>
    <t>Kari</t>
  </si>
  <si>
    <t>Izola</t>
  </si>
  <si>
    <t>Rosella</t>
  </si>
  <si>
    <t>Suzanna</t>
  </si>
  <si>
    <t>Joi</t>
  </si>
  <si>
    <t>Marge</t>
  </si>
  <si>
    <t>Socorro</t>
  </si>
  <si>
    <t>Patria</t>
  </si>
  <si>
    <t>Lissa</t>
  </si>
  <si>
    <t>Tandra</t>
  </si>
  <si>
    <t>Edith</t>
  </si>
  <si>
    <t>Alma</t>
  </si>
  <si>
    <t>Un</t>
  </si>
  <si>
    <t>Rhiannon</t>
  </si>
  <si>
    <t>Debbi</t>
  </si>
  <si>
    <t>Georgetta</t>
  </si>
  <si>
    <t>Kitty</t>
  </si>
  <si>
    <t>Karyl</t>
  </si>
  <si>
    <t>Sanjuana</t>
  </si>
  <si>
    <t>Salome</t>
  </si>
  <si>
    <t>Iva</t>
  </si>
  <si>
    <t>Melodi</t>
  </si>
  <si>
    <t>Carmella</t>
  </si>
  <si>
    <t>Dorothea</t>
  </si>
  <si>
    <t>Ellena</t>
  </si>
  <si>
    <t>Delphine</t>
  </si>
  <si>
    <t>Angle</t>
  </si>
  <si>
    <t>Jeanett</t>
  </si>
  <si>
    <t>Judith</t>
  </si>
  <si>
    <t>Kristin</t>
  </si>
  <si>
    <t>Loris</t>
  </si>
  <si>
    <t>Dannette</t>
  </si>
  <si>
    <t>Kellie</t>
  </si>
  <si>
    <t>Janyce</t>
  </si>
  <si>
    <t>Emmy</t>
  </si>
  <si>
    <t>Johanna</t>
  </si>
  <si>
    <t>Setsuko</t>
  </si>
  <si>
    <t>Candelaria</t>
  </si>
  <si>
    <t>Jacque</t>
  </si>
  <si>
    <t>Ryann</t>
  </si>
  <si>
    <t>Kathlyn</t>
  </si>
  <si>
    <t>Youlanda</t>
  </si>
  <si>
    <t>Kathline</t>
  </si>
  <si>
    <t>Klara</t>
  </si>
  <si>
    <t>Britta</t>
  </si>
  <si>
    <t>Caroline</t>
  </si>
  <si>
    <t>Kiyoko</t>
  </si>
  <si>
    <t>Cleora</t>
  </si>
  <si>
    <t>Rozella</t>
  </si>
  <si>
    <t>Aurea</t>
  </si>
  <si>
    <t>Nyla</t>
  </si>
  <si>
    <t>Kacey</t>
  </si>
  <si>
    <t>Luann</t>
  </si>
  <si>
    <t>Clementina</t>
  </si>
  <si>
    <t>Louetta</t>
  </si>
  <si>
    <t>Bruna</t>
  </si>
  <si>
    <t>Joann</t>
  </si>
  <si>
    <t>Carole</t>
  </si>
  <si>
    <t>Bethann</t>
  </si>
  <si>
    <t>Theresia</t>
  </si>
  <si>
    <t>Leontine</t>
  </si>
  <si>
    <t>Lorretta</t>
  </si>
  <si>
    <t>Domitila</t>
  </si>
  <si>
    <t>Cindi</t>
  </si>
  <si>
    <t>Magaret</t>
  </si>
  <si>
    <t>Bette</t>
  </si>
  <si>
    <t>Juana</t>
  </si>
  <si>
    <t>Loise</t>
  </si>
  <si>
    <t>Yolande</t>
  </si>
  <si>
    <t>Doris</t>
  </si>
  <si>
    <t>Bong</t>
  </si>
  <si>
    <t>Aracelis</t>
  </si>
  <si>
    <t>Ora</t>
  </si>
  <si>
    <t>Maud</t>
  </si>
  <si>
    <t>Cordelia</t>
  </si>
  <si>
    <t>Shona</t>
  </si>
  <si>
    <t>Niesha</t>
  </si>
  <si>
    <t>Hillary</t>
  </si>
  <si>
    <t>Augusta</t>
  </si>
  <si>
    <t>Claudie</t>
  </si>
  <si>
    <t>Ta</t>
  </si>
  <si>
    <t>Tasia</t>
  </si>
  <si>
    <t>Cinthia</t>
  </si>
  <si>
    <t>Carolynn</t>
  </si>
  <si>
    <t>Suzanne</t>
  </si>
  <si>
    <t>Celestine</t>
  </si>
  <si>
    <t>Rosaura</t>
  </si>
  <si>
    <t>Arlette</t>
  </si>
  <si>
    <t>Marna</t>
  </si>
  <si>
    <t>Mozelle</t>
  </si>
  <si>
    <t>Shawna</t>
  </si>
  <si>
    <t>Karolyn</t>
  </si>
  <si>
    <t>Pearline</t>
  </si>
  <si>
    <t>Annie</t>
  </si>
  <si>
    <t>Rachelle</t>
  </si>
  <si>
    <t>Contessa</t>
  </si>
  <si>
    <t>Veronique</t>
  </si>
  <si>
    <t>Sanjuanita</t>
  </si>
  <si>
    <t>Soo</t>
  </si>
  <si>
    <t>Johna</t>
  </si>
  <si>
    <t>China</t>
  </si>
  <si>
    <t>Shawnee</t>
  </si>
  <si>
    <t>Tiana</t>
  </si>
  <si>
    <t>Sirena</t>
  </si>
  <si>
    <t>Lovetta</t>
  </si>
  <si>
    <t>Lakita</t>
  </si>
  <si>
    <t>Ivette</t>
  </si>
  <si>
    <t>Deann</t>
  </si>
  <si>
    <t>Edythe</t>
  </si>
  <si>
    <t>Kerrie</t>
  </si>
  <si>
    <t>Lola</t>
  </si>
  <si>
    <t>Kimberlee</t>
  </si>
  <si>
    <t>Sadie</t>
  </si>
  <si>
    <t>Tanika</t>
  </si>
  <si>
    <t>Tonette</t>
  </si>
  <si>
    <t>Wen</t>
  </si>
  <si>
    <t>Lauri</t>
  </si>
  <si>
    <t>Dione</t>
  </si>
  <si>
    <t>Ching</t>
  </si>
  <si>
    <t>Malika</t>
  </si>
  <si>
    <t>Elissa</t>
  </si>
  <si>
    <t>Gertrud</t>
  </si>
  <si>
    <t>Marquetta</t>
  </si>
  <si>
    <t>Talisha</t>
  </si>
  <si>
    <t>Tangela</t>
  </si>
  <si>
    <t>Joie</t>
  </si>
  <si>
    <t>Vernia</t>
  </si>
  <si>
    <t>Alleen</t>
  </si>
  <si>
    <t>Hellen</t>
  </si>
  <si>
    <t>Fernanda</t>
  </si>
  <si>
    <t>Myrl</t>
  </si>
  <si>
    <t>Eunice</t>
  </si>
  <si>
    <t>Shandra</t>
  </si>
  <si>
    <t>Elfrieda</t>
  </si>
  <si>
    <t>Letha</t>
  </si>
  <si>
    <t>Meagan</t>
  </si>
  <si>
    <t>Anna</t>
  </si>
  <si>
    <t>Genie</t>
  </si>
  <si>
    <t>Keturah</t>
  </si>
  <si>
    <t>Nana</t>
  </si>
  <si>
    <t>Shantell</t>
  </si>
  <si>
    <t>Josefa</t>
  </si>
  <si>
    <t>Mai</t>
  </si>
  <si>
    <t>Siobhan</t>
  </si>
  <si>
    <t>Christia</t>
  </si>
  <si>
    <t>Cherly</t>
  </si>
  <si>
    <t>Becki</t>
  </si>
  <si>
    <t>Karren</t>
  </si>
  <si>
    <t>Lucia</t>
  </si>
  <si>
    <t>Delpha</t>
  </si>
  <si>
    <t>Paulette</t>
  </si>
  <si>
    <t>Mazie</t>
  </si>
  <si>
    <t>Esther</t>
  </si>
  <si>
    <t>Marya</t>
  </si>
  <si>
    <t>Noma</t>
  </si>
  <si>
    <t>Giuseppina</t>
  </si>
  <si>
    <t>Gaylene</t>
  </si>
  <si>
    <t>Tamra</t>
  </si>
  <si>
    <t>Jayne</t>
  </si>
  <si>
    <t>Kenyetta</t>
  </si>
  <si>
    <t>Karry</t>
  </si>
  <si>
    <t>Jayna</t>
  </si>
  <si>
    <t>Marnie</t>
  </si>
  <si>
    <t>Kathi</t>
  </si>
  <si>
    <t>Hallie</t>
  </si>
  <si>
    <t>Cathie</t>
  </si>
  <si>
    <t>Eden</t>
  </si>
  <si>
    <t>Tanya</t>
  </si>
  <si>
    <t>Meggan</t>
  </si>
  <si>
    <t>Maxima</t>
  </si>
  <si>
    <t>Cherise</t>
  </si>
  <si>
    <t>Florance</t>
  </si>
  <si>
    <t>Ayesha</t>
  </si>
  <si>
    <t>Eugena</t>
  </si>
  <si>
    <t>Lorelei</t>
  </si>
  <si>
    <t>Chastity</t>
  </si>
  <si>
    <t>Gabriela</t>
  </si>
  <si>
    <t>Mendy</t>
  </si>
  <si>
    <t>Eboni</t>
  </si>
  <si>
    <t>Bridgett</t>
  </si>
  <si>
    <t>Temika</t>
  </si>
  <si>
    <t>Catarina</t>
  </si>
  <si>
    <t>Stephine</t>
  </si>
  <si>
    <t>Philomena</t>
  </si>
  <si>
    <t>Neomi</t>
  </si>
  <si>
    <t>Kristle</t>
  </si>
  <si>
    <t>Lean</t>
  </si>
  <si>
    <t>Elin</t>
  </si>
  <si>
    <t>Lacresha</t>
  </si>
  <si>
    <t>Elisa</t>
  </si>
  <si>
    <t>Wilhelmina</t>
  </si>
  <si>
    <t>Verda</t>
  </si>
  <si>
    <t>Kasha</t>
  </si>
  <si>
    <t>Breann</t>
  </si>
  <si>
    <t>Gisele</t>
  </si>
  <si>
    <t>Kiley</t>
  </si>
  <si>
    <t>Gretchen</t>
  </si>
  <si>
    <t>Carmela</t>
  </si>
  <si>
    <t>Stefanie</t>
  </si>
  <si>
    <t>Dung</t>
  </si>
  <si>
    <t>Lizabeth</t>
  </si>
  <si>
    <t>Qiana</t>
  </si>
  <si>
    <t>Slyvia</t>
  </si>
  <si>
    <t>Hwa</t>
  </si>
  <si>
    <t>Nancee</t>
  </si>
  <si>
    <t>Lindsy</t>
  </si>
  <si>
    <t>Vanda</t>
  </si>
  <si>
    <t>Lula</t>
  </si>
  <si>
    <t>Darci</t>
  </si>
  <si>
    <t>Alesia</t>
  </si>
  <si>
    <t>Flora</t>
  </si>
  <si>
    <t>Evia</t>
  </si>
  <si>
    <t>Britney</t>
  </si>
  <si>
    <t>Wendolyn</t>
  </si>
  <si>
    <t>Marcella</t>
  </si>
  <si>
    <t>Sari</t>
  </si>
  <si>
    <t>Lurlene</t>
  </si>
  <si>
    <t>Dorothy</t>
  </si>
  <si>
    <t>Ja</t>
  </si>
  <si>
    <t>Penni</t>
  </si>
  <si>
    <t>Rebbecca</t>
  </si>
  <si>
    <t>Aracely</t>
  </si>
  <si>
    <t>Muriel</t>
  </si>
  <si>
    <t>Serita</t>
  </si>
  <si>
    <t>Janita</t>
  </si>
  <si>
    <t>Sona</t>
  </si>
  <si>
    <t>Darlena</t>
  </si>
  <si>
    <t>An</t>
  </si>
  <si>
    <t>Tam</t>
  </si>
  <si>
    <t>Amberly</t>
  </si>
  <si>
    <t>Phillis</t>
  </si>
  <si>
    <t>Angla</t>
  </si>
  <si>
    <t>Estela</t>
  </si>
  <si>
    <t>Bambi</t>
  </si>
  <si>
    <t>Tari</t>
  </si>
  <si>
    <t>Lily</t>
  </si>
  <si>
    <t>Felicita</t>
  </si>
  <si>
    <t>Else</t>
  </si>
  <si>
    <t>Grisel</t>
  </si>
  <si>
    <t>Candyce</t>
  </si>
  <si>
    <t>Sharell</t>
  </si>
  <si>
    <t>Wilhemina</t>
  </si>
  <si>
    <t>Melonie</t>
  </si>
  <si>
    <t>Mari</t>
  </si>
  <si>
    <t>Alane</t>
  </si>
  <si>
    <t>Vasiliki</t>
  </si>
  <si>
    <t>Kirstin</t>
  </si>
  <si>
    <t>Arnetta</t>
  </si>
  <si>
    <t>Olive</t>
  </si>
  <si>
    <t>Wei</t>
  </si>
  <si>
    <t>Margarette</t>
  </si>
  <si>
    <t>Quyen</t>
  </si>
  <si>
    <t>Laquita</t>
  </si>
  <si>
    <t>Karol</t>
  </si>
  <si>
    <t>Ozell</t>
  </si>
  <si>
    <t>Valrie</t>
  </si>
  <si>
    <t>Lai</t>
  </si>
  <si>
    <t>Lorinda</t>
  </si>
  <si>
    <t>Amal</t>
  </si>
  <si>
    <t>Annabell</t>
  </si>
  <si>
    <t>Kristi</t>
  </si>
  <si>
    <t>Kit</t>
  </si>
  <si>
    <t>Nita</t>
  </si>
  <si>
    <t>Veronica</t>
  </si>
  <si>
    <t>Lauryn</t>
  </si>
  <si>
    <t>Pok</t>
  </si>
  <si>
    <t>Teressa</t>
  </si>
  <si>
    <t>Elwanda</t>
  </si>
  <si>
    <t>Meghan</t>
  </si>
  <si>
    <t>Germaine</t>
  </si>
  <si>
    <t>Mallie</t>
  </si>
  <si>
    <t>Jacqulyn</t>
  </si>
  <si>
    <t>Laurinda</t>
  </si>
  <si>
    <t>Selina</t>
  </si>
  <si>
    <t>Dede</t>
  </si>
  <si>
    <t>Kandice</t>
  </si>
  <si>
    <t>Leora</t>
  </si>
  <si>
    <t>Natosha</t>
  </si>
  <si>
    <t>Gennie</t>
  </si>
  <si>
    <t>Luciana</t>
  </si>
  <si>
    <t>Hsiu</t>
  </si>
  <si>
    <t>Kristyn</t>
  </si>
  <si>
    <t>Chana</t>
  </si>
  <si>
    <t>Windy</t>
  </si>
  <si>
    <t>Tisa</t>
  </si>
  <si>
    <t>Audrie</t>
  </si>
  <si>
    <t>Lauretta</t>
  </si>
  <si>
    <t>Flavia</t>
  </si>
  <si>
    <t>Diann</t>
  </si>
  <si>
    <t>Grayce</t>
  </si>
  <si>
    <t>Josephine</t>
  </si>
  <si>
    <t>Vertie</t>
  </si>
  <si>
    <t>Cierra</t>
  </si>
  <si>
    <t>Jina</t>
  </si>
  <si>
    <t>Breanna</t>
  </si>
  <si>
    <t>Florinda</t>
  </si>
  <si>
    <t>Rosalba</t>
  </si>
  <si>
    <t>Aisha</t>
  </si>
  <si>
    <t>Mariel</t>
  </si>
  <si>
    <t>Dorene</t>
  </si>
  <si>
    <t>Pricilla</t>
  </si>
  <si>
    <t>Tobie</t>
  </si>
  <si>
    <t>Ronni</t>
  </si>
  <si>
    <t>Callie</t>
  </si>
  <si>
    <t>Albertha</t>
  </si>
  <si>
    <t>Christeen</t>
  </si>
  <si>
    <t>Lolita</t>
  </si>
  <si>
    <t>Faith</t>
  </si>
  <si>
    <t>Kandace</t>
  </si>
  <si>
    <t>Candy</t>
  </si>
  <si>
    <t>Janean</t>
  </si>
  <si>
    <t>Laveta</t>
  </si>
  <si>
    <t>Nickie</t>
  </si>
  <si>
    <t>Marni</t>
  </si>
  <si>
    <t>Brittaney</t>
  </si>
  <si>
    <t>Terina</t>
  </si>
  <si>
    <t>Madelyn</t>
  </si>
  <si>
    <t>Shawanda</t>
  </si>
  <si>
    <t>Joni</t>
  </si>
  <si>
    <t>Shelly</t>
  </si>
  <si>
    <t>Jong</t>
  </si>
  <si>
    <t>Melony</t>
  </si>
  <si>
    <t>Maris</t>
  </si>
  <si>
    <t>Iliana</t>
  </si>
  <si>
    <t>Roxanne</t>
  </si>
  <si>
    <t>Angelena</t>
  </si>
  <si>
    <t>Larissa</t>
  </si>
  <si>
    <t>Margie</t>
  </si>
  <si>
    <t>Lala</t>
  </si>
  <si>
    <t>Alina</t>
  </si>
  <si>
    <t>Otilia</t>
  </si>
  <si>
    <t>Tomoko</t>
  </si>
  <si>
    <t>Tarra</t>
  </si>
  <si>
    <t>Ginger</t>
  </si>
  <si>
    <t>Shelia</t>
  </si>
  <si>
    <t>Tyisha</t>
  </si>
  <si>
    <t>Shay</t>
  </si>
  <si>
    <t>Keri</t>
  </si>
  <si>
    <t>Hang</t>
  </si>
  <si>
    <t>Kamala</t>
  </si>
  <si>
    <t>Natashia</t>
  </si>
  <si>
    <t>Pa</t>
  </si>
  <si>
    <t>Layne</t>
  </si>
  <si>
    <t>Dinah</t>
  </si>
  <si>
    <t>Isa</t>
  </si>
  <si>
    <t>Manda</t>
  </si>
  <si>
    <t>Taunya</t>
  </si>
  <si>
    <t>Kathryn</t>
  </si>
  <si>
    <t>Liz</t>
  </si>
  <si>
    <t>Evelia</t>
  </si>
  <si>
    <t>Donnetta</t>
  </si>
  <si>
    <t>Misti</t>
  </si>
  <si>
    <t>Anette</t>
  </si>
  <si>
    <t>Ena</t>
  </si>
  <si>
    <t>Verla</t>
  </si>
  <si>
    <t>Jenee</t>
  </si>
  <si>
    <t>Marvis</t>
  </si>
  <si>
    <t>Melvina</t>
  </si>
  <si>
    <t>Adrien</t>
  </si>
  <si>
    <t>Beverley</t>
  </si>
  <si>
    <t>Nadene</t>
  </si>
  <si>
    <t>Shelli</t>
  </si>
  <si>
    <t>Niki</t>
  </si>
  <si>
    <t>Elinor</t>
  </si>
  <si>
    <t>Fumiko</t>
  </si>
  <si>
    <t>Elane</t>
  </si>
  <si>
    <t>Cheryl</t>
  </si>
  <si>
    <t>Eleanore</t>
  </si>
  <si>
    <t>Tashia</t>
  </si>
  <si>
    <t>Candie</t>
  </si>
  <si>
    <t>Danyell</t>
  </si>
  <si>
    <t>Alisha</t>
  </si>
  <si>
    <t>Yolonda</t>
  </si>
  <si>
    <t>Dimple</t>
  </si>
  <si>
    <t>Otis</t>
  </si>
  <si>
    <t>Guadalupe</t>
  </si>
  <si>
    <t>Lupe</t>
  </si>
  <si>
    <t>Dwain</t>
  </si>
  <si>
    <t>Johnathon</t>
  </si>
  <si>
    <t>Hugo</t>
  </si>
  <si>
    <t>Salvador</t>
  </si>
  <si>
    <t>Fausto</t>
  </si>
  <si>
    <t>Jed</t>
  </si>
  <si>
    <t>Jerald</t>
  </si>
  <si>
    <t>Jeremiah</t>
  </si>
  <si>
    <t>Brett</t>
  </si>
  <si>
    <t>Ed</t>
  </si>
  <si>
    <t>Rodolfo</t>
  </si>
  <si>
    <t>Armand</t>
  </si>
  <si>
    <t>Chance</t>
  </si>
  <si>
    <t>Agustin</t>
  </si>
  <si>
    <t>Alfredo</t>
  </si>
  <si>
    <t>Lonny</t>
  </si>
  <si>
    <t>Mohammed</t>
  </si>
  <si>
    <t>Nathanial</t>
  </si>
  <si>
    <t>Virgil</t>
  </si>
  <si>
    <t>Johnny</t>
  </si>
  <si>
    <t>Kurtis</t>
  </si>
  <si>
    <t>Rickey</t>
  </si>
  <si>
    <t>Jared</t>
  </si>
  <si>
    <t>Rob</t>
  </si>
  <si>
    <t>Joesph</t>
  </si>
  <si>
    <t>Delmar</t>
  </si>
  <si>
    <t>Fidel</t>
  </si>
  <si>
    <t>Grover</t>
  </si>
  <si>
    <t>Matt</t>
  </si>
  <si>
    <t>Eloy</t>
  </si>
  <si>
    <t>Marvin</t>
  </si>
  <si>
    <t>Lyle</t>
  </si>
  <si>
    <t>Bertram</t>
  </si>
  <si>
    <t>Osvaldo</t>
  </si>
  <si>
    <t>Titus</t>
  </si>
  <si>
    <t>Adam</t>
  </si>
  <si>
    <t>Lyman</t>
  </si>
  <si>
    <t>Toby</t>
  </si>
  <si>
    <t>Jasper</t>
  </si>
  <si>
    <t>Monte</t>
  </si>
  <si>
    <t>Andreas</t>
  </si>
  <si>
    <t>Domingo</t>
  </si>
  <si>
    <t>Hubert</t>
  </si>
  <si>
    <t>Bert</t>
  </si>
  <si>
    <t>Darrell</t>
  </si>
  <si>
    <t>Wilfred</t>
  </si>
  <si>
    <t>Rosendo</t>
  </si>
  <si>
    <t>Korey</t>
  </si>
  <si>
    <t>Isaias</t>
  </si>
  <si>
    <t>Mauricio</t>
  </si>
  <si>
    <t>Raymundo</t>
  </si>
  <si>
    <t>Donn</t>
  </si>
  <si>
    <t>Lazaro</t>
  </si>
  <si>
    <t>Geoffrey</t>
  </si>
  <si>
    <t>Fredric</t>
  </si>
  <si>
    <t>Otha</t>
  </si>
  <si>
    <t>Scot</t>
  </si>
  <si>
    <t>Leonardo</t>
  </si>
  <si>
    <t>Willie</t>
  </si>
  <si>
    <t>Jimmie</t>
  </si>
  <si>
    <t>Sandy</t>
  </si>
  <si>
    <t>Jude</t>
  </si>
  <si>
    <t>Rolf</t>
  </si>
  <si>
    <t>Chi</t>
  </si>
  <si>
    <t>Robbie</t>
  </si>
  <si>
    <t>Norbert</t>
  </si>
  <si>
    <t>Willy</t>
  </si>
  <si>
    <t>Brad</t>
  </si>
  <si>
    <t>Winford</t>
  </si>
  <si>
    <t>Elbert</t>
  </si>
  <si>
    <t>Wilbert</t>
  </si>
  <si>
    <t>Freddie</t>
  </si>
  <si>
    <t>Micah</t>
  </si>
  <si>
    <t>Burl</t>
  </si>
  <si>
    <t>Rogelio</t>
  </si>
  <si>
    <t>Enoch</t>
  </si>
  <si>
    <t>Rodrigo</t>
  </si>
  <si>
    <t>Terrance</t>
  </si>
  <si>
    <t>Efrain</t>
  </si>
  <si>
    <t>Filiberto</t>
  </si>
  <si>
    <t>Jeffery</t>
  </si>
  <si>
    <t>Daron</t>
  </si>
  <si>
    <t>Christoper</t>
  </si>
  <si>
    <t>Delmer</t>
  </si>
  <si>
    <t>Galen</t>
  </si>
  <si>
    <t>Horace</t>
  </si>
  <si>
    <t>Javier</t>
  </si>
  <si>
    <t>Nathan</t>
  </si>
  <si>
    <t>Jamar</t>
  </si>
  <si>
    <t>Jackie</t>
  </si>
  <si>
    <t>Harlan</t>
  </si>
  <si>
    <t>Jerrell</t>
  </si>
  <si>
    <t>Emmanuel</t>
  </si>
  <si>
    <t>Jamey</t>
  </si>
  <si>
    <t>Mervin</t>
  </si>
  <si>
    <t>Colin</t>
  </si>
  <si>
    <t>Damien</t>
  </si>
  <si>
    <t>Gerardo</t>
  </si>
  <si>
    <t>Benny</t>
  </si>
  <si>
    <t>Duane</t>
  </si>
  <si>
    <t>Teddy</t>
  </si>
  <si>
    <t>Reggie</t>
  </si>
  <si>
    <t>Gregorio</t>
  </si>
  <si>
    <t>Clemente</t>
  </si>
  <si>
    <t>Rod</t>
  </si>
  <si>
    <t>Jonathon</t>
  </si>
  <si>
    <t>Frances</t>
  </si>
  <si>
    <t>Giuseppe</t>
  </si>
  <si>
    <t>Tory</t>
  </si>
  <si>
    <t>Teodoro</t>
  </si>
  <si>
    <t>Wilfredo</t>
  </si>
  <si>
    <t>Wilber</t>
  </si>
  <si>
    <t>Will</t>
  </si>
  <si>
    <t>Tracey</t>
  </si>
  <si>
    <t>Edwardo</t>
  </si>
  <si>
    <t>Roger</t>
  </si>
  <si>
    <t>Irving</t>
  </si>
  <si>
    <t>Jay</t>
  </si>
  <si>
    <t>Robin</t>
  </si>
  <si>
    <t>Cory</t>
  </si>
  <si>
    <t>Diego</t>
  </si>
  <si>
    <t>Nathanael</t>
  </si>
  <si>
    <t>August</t>
  </si>
  <si>
    <t>Alden</t>
  </si>
  <si>
    <t>Orlando</t>
  </si>
  <si>
    <t>Emile</t>
  </si>
  <si>
    <t>Darin</t>
  </si>
  <si>
    <t>Moshe</t>
  </si>
  <si>
    <t>Emilio</t>
  </si>
  <si>
    <t>Minh</t>
  </si>
  <si>
    <t>Hal</t>
  </si>
  <si>
    <t>Buddy</t>
  </si>
  <si>
    <t>Kelvin</t>
  </si>
  <si>
    <t>Deandre</t>
  </si>
  <si>
    <t>Carlos</t>
  </si>
  <si>
    <t>Modesto</t>
  </si>
  <si>
    <t>Earle</t>
  </si>
  <si>
    <t>Florencio</t>
  </si>
  <si>
    <t>Chadwick</t>
  </si>
  <si>
    <t>Lino</t>
  </si>
  <si>
    <t>Dexter</t>
  </si>
  <si>
    <t>Ken</t>
  </si>
  <si>
    <t>Giovanni</t>
  </si>
  <si>
    <t>Ricky</t>
  </si>
  <si>
    <t>Dewey</t>
  </si>
  <si>
    <t>Marc</t>
  </si>
  <si>
    <t>Leonel</t>
  </si>
  <si>
    <t>Jess</t>
  </si>
  <si>
    <t>Hai</t>
  </si>
  <si>
    <t>Lawerence</t>
  </si>
  <si>
    <t>Errol</t>
  </si>
  <si>
    <t>Freddy</t>
  </si>
  <si>
    <t>Joan</t>
  </si>
  <si>
    <t>Leroy</t>
  </si>
  <si>
    <t>Jesus</t>
  </si>
  <si>
    <t>Garret</t>
  </si>
  <si>
    <t>Jc</t>
  </si>
  <si>
    <t>Marcelino</t>
  </si>
  <si>
    <t>Gonzalo</t>
  </si>
  <si>
    <t>Malcom</t>
  </si>
  <si>
    <t>Antoine</t>
  </si>
  <si>
    <t>Joshua</t>
  </si>
  <si>
    <t>Lionel</t>
  </si>
  <si>
    <t>Myles</t>
  </si>
  <si>
    <t>Kennith</t>
  </si>
  <si>
    <t>Scottie</t>
  </si>
  <si>
    <t>Donny</t>
  </si>
  <si>
    <t>Collin</t>
  </si>
  <si>
    <t>Pete</t>
  </si>
  <si>
    <t>Brenton</t>
  </si>
  <si>
    <t>Rene</t>
  </si>
  <si>
    <t>Merlin</t>
  </si>
  <si>
    <t>Emanuel</t>
  </si>
  <si>
    <t>Saul</t>
  </si>
  <si>
    <t>Johnnie</t>
  </si>
  <si>
    <t>Mikel</t>
  </si>
  <si>
    <t>Bradly</t>
  </si>
  <si>
    <t>Genaro</t>
  </si>
  <si>
    <t>Shelby</t>
  </si>
  <si>
    <t>Garry</t>
  </si>
  <si>
    <t>Lonnie</t>
  </si>
  <si>
    <t>Rickie</t>
  </si>
  <si>
    <t>Alfonzo</t>
  </si>
  <si>
    <t>Michale</t>
  </si>
  <si>
    <t>Antone</t>
  </si>
  <si>
    <t>Wm</t>
  </si>
  <si>
    <t>Daren</t>
  </si>
  <si>
    <t>Joaquin</t>
  </si>
  <si>
    <t>Millard</t>
  </si>
  <si>
    <t>Cristopher</t>
  </si>
  <si>
    <t>Ignacio</t>
  </si>
  <si>
    <t>Kevin</t>
  </si>
  <si>
    <t>Juan</t>
  </si>
  <si>
    <t>Kory</t>
  </si>
  <si>
    <t>Donnell</t>
  </si>
  <si>
    <t>Percy</t>
  </si>
  <si>
    <t>Elvin</t>
  </si>
  <si>
    <t>Rodney</t>
  </si>
  <si>
    <t>Augustine</t>
  </si>
  <si>
    <t>Dong</t>
  </si>
  <si>
    <t>Silas</t>
  </si>
  <si>
    <t>Marcelo</t>
  </si>
  <si>
    <t>Luis</t>
  </si>
  <si>
    <t>Brent</t>
  </si>
  <si>
    <t>Edgardo</t>
  </si>
  <si>
    <t>Cedrick</t>
  </si>
  <si>
    <t>Tommy</t>
  </si>
  <si>
    <t>Coy</t>
  </si>
  <si>
    <t>Rocco</t>
  </si>
  <si>
    <t>Charlie</t>
  </si>
  <si>
    <t>Milford</t>
  </si>
  <si>
    <t>Tad</t>
  </si>
  <si>
    <t>Bart</t>
  </si>
  <si>
    <t>Michal</t>
  </si>
  <si>
    <t>Trey</t>
  </si>
  <si>
    <t>Dallas</t>
  </si>
  <si>
    <t>Alec</t>
  </si>
  <si>
    <t>Dane</t>
  </si>
  <si>
    <t>Hung</t>
  </si>
  <si>
    <t>Lanny</t>
  </si>
  <si>
    <t>Glen</t>
  </si>
  <si>
    <t>Reginald</t>
  </si>
  <si>
    <t>Israel</t>
  </si>
  <si>
    <t>Marlin</t>
  </si>
  <si>
    <t>Harley</t>
  </si>
  <si>
    <t>Elmer</t>
  </si>
  <si>
    <t>Bryce</t>
  </si>
  <si>
    <t>Johnie</t>
  </si>
  <si>
    <t>Sid</t>
  </si>
  <si>
    <t>Danilo</t>
  </si>
  <si>
    <t>Harland</t>
  </si>
  <si>
    <t>Lenny</t>
  </si>
  <si>
    <t>Victor</t>
  </si>
  <si>
    <t>Jeffry</t>
  </si>
  <si>
    <t>Sammie</t>
  </si>
  <si>
    <t>Mickey</t>
  </si>
  <si>
    <t>Vito</t>
  </si>
  <si>
    <t>Granville</t>
  </si>
  <si>
    <t>Gavin</t>
  </si>
  <si>
    <t>Chauncey</t>
  </si>
  <si>
    <t>Myron</t>
  </si>
  <si>
    <t>Heriberto</t>
  </si>
  <si>
    <t>Harold</t>
  </si>
  <si>
    <t>Matthew</t>
  </si>
  <si>
    <t>Art</t>
  </si>
  <si>
    <t>Woodrow</t>
  </si>
  <si>
    <t>Jesse</t>
  </si>
  <si>
    <t>Fredrick</t>
  </si>
  <si>
    <t>Leif</t>
  </si>
  <si>
    <t>Terrence</t>
  </si>
  <si>
    <t>Edwin</t>
  </si>
  <si>
    <t>Buster</t>
  </si>
  <si>
    <t>Winfred</t>
  </si>
  <si>
    <t>Efren</t>
  </si>
  <si>
    <t>Cordell</t>
  </si>
  <si>
    <t>Weldon</t>
  </si>
  <si>
    <t>Eliseo</t>
  </si>
  <si>
    <t>Theron</t>
  </si>
  <si>
    <t>Rudy</t>
  </si>
  <si>
    <t>Quincy</t>
  </si>
  <si>
    <t>Richie</t>
  </si>
  <si>
    <t>Olen</t>
  </si>
  <si>
    <t>Louie</t>
  </si>
  <si>
    <t>Josh</t>
  </si>
  <si>
    <t>Jose</t>
  </si>
  <si>
    <t>Ezekiel</t>
  </si>
  <si>
    <t>Jae</t>
  </si>
  <si>
    <t>Ivory</t>
  </si>
  <si>
    <t>Nicolas</t>
  </si>
  <si>
    <t>Sang</t>
  </si>
  <si>
    <t>Wilton</t>
  </si>
  <si>
    <t>Humberto</t>
  </si>
  <si>
    <t>Carrol</t>
  </si>
  <si>
    <t>Marlon</t>
  </si>
  <si>
    <t>Pat</t>
  </si>
  <si>
    <t>Jimmy</t>
  </si>
  <si>
    <t>Ollie</t>
  </si>
  <si>
    <t>Eldon</t>
  </si>
  <si>
    <t>Donnie</t>
  </si>
  <si>
    <t>Hosea</t>
  </si>
  <si>
    <t>Manual</t>
  </si>
  <si>
    <t>Damion</t>
  </si>
  <si>
    <t>Graig</t>
  </si>
  <si>
    <t>Darryl</t>
  </si>
  <si>
    <t>Brice</t>
  </si>
  <si>
    <t>Quinton</t>
  </si>
  <si>
    <t>Kieth</t>
  </si>
  <si>
    <t>Edmundo</t>
  </si>
  <si>
    <t>Kermit</t>
  </si>
  <si>
    <t>Clint</t>
  </si>
  <si>
    <t>Arron</t>
  </si>
  <si>
    <t>Marco</t>
  </si>
  <si>
    <t>Gayle</t>
  </si>
  <si>
    <t>Rocky</t>
  </si>
  <si>
    <t>Issac</t>
  </si>
  <si>
    <t>Shane</t>
  </si>
  <si>
    <t>Sean</t>
  </si>
  <si>
    <t>Andre</t>
  </si>
  <si>
    <t>Russel</t>
  </si>
  <si>
    <t>Danial</t>
  </si>
  <si>
    <t>Joel</t>
  </si>
  <si>
    <t>Noe</t>
  </si>
  <si>
    <t>Luther</t>
  </si>
  <si>
    <t>Tommie</t>
  </si>
  <si>
    <t>Nicky</t>
  </si>
  <si>
    <t>Willian</t>
  </si>
  <si>
    <t>Cletus</t>
  </si>
  <si>
    <t>Lamont</t>
  </si>
  <si>
    <t>Emory</t>
  </si>
  <si>
    <t>Rigoberto</t>
  </si>
  <si>
    <t>Andy</t>
  </si>
  <si>
    <t>Zackary</t>
  </si>
  <si>
    <t>Tod</t>
  </si>
  <si>
    <t>Rashad</t>
  </si>
  <si>
    <t>Ty</t>
  </si>
  <si>
    <t>Miguel</t>
  </si>
  <si>
    <t>Ian</t>
  </si>
  <si>
    <t>Emmitt</t>
  </si>
  <si>
    <t>Andres</t>
  </si>
  <si>
    <t>Rodger</t>
  </si>
  <si>
    <t>Donte</t>
  </si>
  <si>
    <t>Billy</t>
  </si>
  <si>
    <t>Alberto</t>
  </si>
  <si>
    <t>Brendan</t>
  </si>
  <si>
    <t>Horacio</t>
  </si>
  <si>
    <t>Erich</t>
  </si>
  <si>
    <t>Tomas</t>
  </si>
  <si>
    <t>Dion</t>
  </si>
  <si>
    <t>Anibal</t>
  </si>
  <si>
    <t>Son</t>
  </si>
  <si>
    <t>Luigi</t>
  </si>
  <si>
    <t>Romeo</t>
  </si>
  <si>
    <t>Royce</t>
  </si>
  <si>
    <t>Dusty</t>
  </si>
  <si>
    <t>Rolando</t>
  </si>
  <si>
    <t>Darrick</t>
  </si>
  <si>
    <t>Wendell</t>
  </si>
  <si>
    <t>Gilberto</t>
  </si>
  <si>
    <t>Fabian</t>
  </si>
  <si>
    <t>Tyrone</t>
  </si>
  <si>
    <t>Gaylord</t>
  </si>
  <si>
    <t>Stephan</t>
  </si>
  <si>
    <t>Jaime</t>
  </si>
  <si>
    <t>Dave</t>
  </si>
  <si>
    <t>Maximo</t>
  </si>
  <si>
    <t>Ike</t>
  </si>
  <si>
    <t>Dustin</t>
  </si>
  <si>
    <t>Jospeh</t>
  </si>
  <si>
    <t>Carmine</t>
  </si>
  <si>
    <t>Adolfo</t>
  </si>
  <si>
    <t>Boris</t>
  </si>
  <si>
    <t>Earl</t>
  </si>
  <si>
    <t>Dirk</t>
  </si>
  <si>
    <t>Arlie</t>
  </si>
  <si>
    <t>Asa</t>
  </si>
  <si>
    <t>Erik</t>
  </si>
  <si>
    <t>Dante</t>
  </si>
  <si>
    <t>Dino</t>
  </si>
  <si>
    <t>Wilmer</t>
  </si>
  <si>
    <t>Dan</t>
  </si>
  <si>
    <t>Numbers</t>
  </si>
  <si>
    <t>Guillermo</t>
  </si>
  <si>
    <t>Colton</t>
  </si>
  <si>
    <t>Emmett</t>
  </si>
  <si>
    <t>Troy</t>
  </si>
  <si>
    <t>Sergio</t>
  </si>
  <si>
    <t>Eugene</t>
  </si>
  <si>
    <t>Shad</t>
  </si>
  <si>
    <t>Robby</t>
  </si>
  <si>
    <t>Jules</t>
  </si>
  <si>
    <t>Pasquale</t>
  </si>
  <si>
    <t>Noah</t>
  </si>
  <si>
    <t>Rupert</t>
  </si>
  <si>
    <t>Elvis</t>
  </si>
  <si>
    <t>Jordon</t>
  </si>
  <si>
    <t>Man</t>
  </si>
  <si>
    <t>Blaine</t>
  </si>
  <si>
    <t>Elton</t>
  </si>
  <si>
    <t>Laurence</t>
  </si>
  <si>
    <t>Darrel</t>
  </si>
  <si>
    <t>Roderick</t>
  </si>
  <si>
    <t>Antione</t>
  </si>
  <si>
    <t>Julius</t>
  </si>
  <si>
    <t>Waylon</t>
  </si>
  <si>
    <t>Sam</t>
  </si>
  <si>
    <t>Dominic</t>
  </si>
  <si>
    <t>Josue</t>
  </si>
  <si>
    <t>Jean</t>
  </si>
  <si>
    <t>Emil</t>
  </si>
  <si>
    <t>Calvin</t>
  </si>
  <si>
    <t>Deangelo</t>
  </si>
  <si>
    <t>Rafael</t>
  </si>
  <si>
    <t>Timmy</t>
  </si>
  <si>
    <t>Lesley</t>
  </si>
  <si>
    <t>Raleigh</t>
  </si>
  <si>
    <t>Oswaldo</t>
  </si>
  <si>
    <t>Jamel</t>
  </si>
  <si>
    <t>Micheal</t>
  </si>
  <si>
    <t>Alex</t>
  </si>
  <si>
    <t>Damian</t>
  </si>
  <si>
    <t>Pablo</t>
  </si>
  <si>
    <t>Corey</t>
  </si>
  <si>
    <t>Ernie</t>
  </si>
  <si>
    <t>Dorian</t>
  </si>
  <si>
    <t>Marcellus</t>
  </si>
  <si>
    <t>Theo</t>
  </si>
  <si>
    <t>Samual</t>
  </si>
  <si>
    <t>Adalberto</t>
  </si>
  <si>
    <t>Darell</t>
  </si>
  <si>
    <t>Fermin</t>
  </si>
  <si>
    <t>Kraig</t>
  </si>
  <si>
    <t>Bobby</t>
  </si>
  <si>
    <t>Stefan</t>
  </si>
  <si>
    <t>Sonny</t>
  </si>
  <si>
    <t>Lucio</t>
  </si>
  <si>
    <t>Randy</t>
  </si>
  <si>
    <t>Kenton</t>
  </si>
  <si>
    <t>Jack</t>
  </si>
  <si>
    <t>Len</t>
  </si>
  <si>
    <t>Sydney</t>
  </si>
  <si>
    <t>Keven</t>
  </si>
  <si>
    <t>Vern</t>
  </si>
  <si>
    <t>Adolph</t>
  </si>
  <si>
    <t>Nestor</t>
  </si>
  <si>
    <t>Isreal</t>
  </si>
  <si>
    <t>Lon</t>
  </si>
  <si>
    <t>Santo</t>
  </si>
  <si>
    <t>Nigel</t>
  </si>
  <si>
    <t>Rhett</t>
  </si>
  <si>
    <t>Valentin</t>
  </si>
  <si>
    <t>Elisha</t>
  </si>
  <si>
    <t>Eusebio</t>
  </si>
  <si>
    <t>Zachariah</t>
  </si>
  <si>
    <t>Denis</t>
  </si>
  <si>
    <t>Beau</t>
  </si>
  <si>
    <t>Vicente</t>
  </si>
  <si>
    <t>Darron</t>
  </si>
  <si>
    <t>Delbert</t>
  </si>
  <si>
    <t>Buford</t>
  </si>
  <si>
    <t>Landon</t>
  </si>
  <si>
    <t>Alphonse</t>
  </si>
  <si>
    <t>Yong</t>
  </si>
  <si>
    <t>Enrique</t>
  </si>
  <si>
    <t>Steven</t>
  </si>
  <si>
    <t>Julio</t>
  </si>
  <si>
    <t>Edison</t>
  </si>
  <si>
    <t>Jame</t>
  </si>
  <si>
    <t>Tuan</t>
  </si>
  <si>
    <t>Arnulfo</t>
  </si>
  <si>
    <t>Mose</t>
  </si>
  <si>
    <t>Leland</t>
  </si>
  <si>
    <t>Abram</t>
  </si>
  <si>
    <t>Douglass</t>
  </si>
  <si>
    <t>Marquis</t>
  </si>
  <si>
    <t>Brant</t>
  </si>
  <si>
    <t>Erick</t>
  </si>
  <si>
    <t>Larry</t>
  </si>
  <si>
    <t>Everette</t>
  </si>
  <si>
    <t>Lucius</t>
  </si>
  <si>
    <t>Ramiro</t>
  </si>
  <si>
    <t>Branden</t>
  </si>
  <si>
    <t>Cristobal</t>
  </si>
  <si>
    <t>Joey</t>
  </si>
  <si>
    <t>Hipolito</t>
  </si>
  <si>
    <t>Garth</t>
  </si>
  <si>
    <t>Refugio</t>
  </si>
  <si>
    <t/>
  </si>
  <si>
    <t>Employee_ID</t>
  </si>
  <si>
    <t>Employee_Title</t>
  </si>
  <si>
    <t>Collection</t>
  </si>
  <si>
    <t>Collection_Year</t>
  </si>
  <si>
    <t>Design</t>
  </si>
  <si>
    <t>Styling</t>
  </si>
  <si>
    <t>Manager</t>
  </si>
  <si>
    <t>Assistant</t>
  </si>
  <si>
    <t>Manufacturing</t>
  </si>
  <si>
    <t>Promotion</t>
  </si>
  <si>
    <t>Summer</t>
  </si>
  <si>
    <t>Collection_Name</t>
  </si>
  <si>
    <t>New York</t>
  </si>
  <si>
    <t>Tokyo</t>
  </si>
  <si>
    <t>Seoul</t>
  </si>
  <si>
    <t>String</t>
  </si>
  <si>
    <t>Date</t>
  </si>
  <si>
    <t>Number</t>
  </si>
  <si>
    <t>INSERTINTO FORMULA TO GET THE DATA FOR SQL INPUT</t>
  </si>
  <si>
    <t>Labourer</t>
  </si>
  <si>
    <t>Avenue</t>
  </si>
  <si>
    <t>Square</t>
  </si>
  <si>
    <t>Employee_FullName</t>
  </si>
  <si>
    <t>Customer_ID</t>
  </si>
  <si>
    <t>Europe</t>
  </si>
  <si>
    <t>Asia</t>
  </si>
  <si>
    <t>North America</t>
  </si>
  <si>
    <t>South America</t>
  </si>
  <si>
    <t>Africa</t>
  </si>
  <si>
    <t>Australia</t>
  </si>
  <si>
    <t>Plantium</t>
  </si>
  <si>
    <t>Bronze</t>
  </si>
  <si>
    <t>Product_ID</t>
  </si>
  <si>
    <t>Names</t>
  </si>
  <si>
    <t>Jacket</t>
  </si>
  <si>
    <t>Shirt</t>
  </si>
  <si>
    <t>Suits</t>
  </si>
  <si>
    <t>Shoes</t>
  </si>
  <si>
    <t>Order_ID</t>
  </si>
  <si>
    <t>OID001</t>
  </si>
  <si>
    <t>OID002</t>
  </si>
  <si>
    <t>OID003</t>
  </si>
  <si>
    <t>OID004</t>
  </si>
  <si>
    <t>OID005</t>
  </si>
  <si>
    <t>OID006</t>
  </si>
  <si>
    <t>OID007</t>
  </si>
  <si>
    <t>OID008</t>
  </si>
  <si>
    <t>OID009</t>
  </si>
  <si>
    <t>OID010</t>
  </si>
  <si>
    <t>OID011</t>
  </si>
  <si>
    <t>OID012</t>
  </si>
  <si>
    <t>OID013</t>
  </si>
  <si>
    <t>OID014</t>
  </si>
  <si>
    <t>OID015</t>
  </si>
  <si>
    <t>OID016</t>
  </si>
  <si>
    <t>OID017</t>
  </si>
  <si>
    <t>OID018</t>
  </si>
  <si>
    <t>OID019</t>
  </si>
  <si>
    <t>OID020</t>
  </si>
  <si>
    <t>OID021</t>
  </si>
  <si>
    <t>OID022</t>
  </si>
  <si>
    <t>OID023</t>
  </si>
  <si>
    <t>OID024</t>
  </si>
  <si>
    <t>OID025</t>
  </si>
  <si>
    <t>OID026</t>
  </si>
  <si>
    <t>OID027</t>
  </si>
  <si>
    <t>OID028</t>
  </si>
  <si>
    <t>OID029</t>
  </si>
  <si>
    <t>OID030</t>
  </si>
  <si>
    <t>OID031</t>
  </si>
  <si>
    <t>OID032</t>
  </si>
  <si>
    <t>OID033</t>
  </si>
  <si>
    <t>OID034</t>
  </si>
  <si>
    <t>OID035</t>
  </si>
  <si>
    <t>OID036</t>
  </si>
  <si>
    <t>OID037</t>
  </si>
  <si>
    <t>OID038</t>
  </si>
  <si>
    <t>OID039</t>
  </si>
  <si>
    <t>OID040</t>
  </si>
  <si>
    <t>OID041</t>
  </si>
  <si>
    <t>OID042</t>
  </si>
  <si>
    <t>OID043</t>
  </si>
  <si>
    <t>OID044</t>
  </si>
  <si>
    <t>OID045</t>
  </si>
  <si>
    <t>OID046</t>
  </si>
  <si>
    <t>OID047</t>
  </si>
  <si>
    <t>OID048</t>
  </si>
  <si>
    <t>OID049</t>
  </si>
  <si>
    <t>OID050</t>
  </si>
  <si>
    <t>Order_Date</t>
  </si>
  <si>
    <t>Order_Status</t>
  </si>
  <si>
    <t>Payment_Type</t>
  </si>
  <si>
    <t>Credit Card</t>
  </si>
  <si>
    <t>Bank Wire</t>
  </si>
  <si>
    <t>Ready to ship</t>
  </si>
  <si>
    <t>Shipped</t>
  </si>
  <si>
    <t>Quantity_FirstShipment</t>
  </si>
  <si>
    <t>Quantity_SecondShipment</t>
  </si>
  <si>
    <t>Cost_FirstShipment</t>
  </si>
  <si>
    <t>Cost_SecondShipment</t>
  </si>
  <si>
    <t>Not ready to ship</t>
  </si>
  <si>
    <t>Assignment_ID</t>
  </si>
  <si>
    <t>F</t>
  </si>
  <si>
    <t>M</t>
  </si>
  <si>
    <t>MYZ001</t>
  </si>
  <si>
    <t>MYZ002</t>
  </si>
  <si>
    <t>MYZ003</t>
  </si>
  <si>
    <t>MYZ004</t>
  </si>
  <si>
    <t>MYZ005</t>
  </si>
  <si>
    <t>MYZ006</t>
  </si>
  <si>
    <t>MYZ007</t>
  </si>
  <si>
    <t>MYZ008</t>
  </si>
  <si>
    <t>MYZ009</t>
  </si>
  <si>
    <t>MYZ010</t>
  </si>
  <si>
    <t>MYZ011</t>
  </si>
  <si>
    <t>MYZ012</t>
  </si>
  <si>
    <t>MYZ013</t>
  </si>
  <si>
    <t>MYZ014</t>
  </si>
  <si>
    <t>MYZ015</t>
  </si>
  <si>
    <t>MYZ016</t>
  </si>
  <si>
    <t>MYZ017</t>
  </si>
  <si>
    <t>MYZ018</t>
  </si>
  <si>
    <t>MYZ019</t>
  </si>
  <si>
    <t>MYZ020</t>
  </si>
  <si>
    <t>MYZ021</t>
  </si>
  <si>
    <t>MYZ022</t>
  </si>
  <si>
    <t>MYZ023</t>
  </si>
  <si>
    <t>MYZ024</t>
  </si>
  <si>
    <t>MYZ025</t>
  </si>
  <si>
    <t>MYZ026</t>
  </si>
  <si>
    <t>MYZ027</t>
  </si>
  <si>
    <t>MYZ028</t>
  </si>
  <si>
    <t>MYZ029</t>
  </si>
  <si>
    <t>MYZ030</t>
  </si>
  <si>
    <t>MYZ031</t>
  </si>
  <si>
    <t>MYZ032</t>
  </si>
  <si>
    <t>MYZ033</t>
  </si>
  <si>
    <t>MYZ034</t>
  </si>
  <si>
    <t>MYZ035</t>
  </si>
  <si>
    <t>MYZ036</t>
  </si>
  <si>
    <t>MYZ037</t>
  </si>
  <si>
    <t>MYZ038</t>
  </si>
  <si>
    <t>MYZ039</t>
  </si>
  <si>
    <t>MYZ040</t>
  </si>
  <si>
    <t>Employee_name</t>
  </si>
  <si>
    <t>BirthDate</t>
  </si>
  <si>
    <t>Address</t>
  </si>
  <si>
    <t>Bonus</t>
  </si>
  <si>
    <t>Gender</t>
  </si>
  <si>
    <t>Employee_surname</t>
  </si>
  <si>
    <t>Employee_surame</t>
  </si>
  <si>
    <t>Birthdate</t>
  </si>
  <si>
    <t>Phonenumber</t>
  </si>
  <si>
    <t>Position</t>
  </si>
  <si>
    <t>Task</t>
  </si>
  <si>
    <t>Location</t>
  </si>
  <si>
    <t>EndDate</t>
  </si>
  <si>
    <t>Payment</t>
  </si>
  <si>
    <t>GIJ001</t>
  </si>
  <si>
    <t>GIJ002</t>
  </si>
  <si>
    <t>GIJ003</t>
  </si>
  <si>
    <t>GIJ004</t>
  </si>
  <si>
    <t>GIJ005</t>
  </si>
  <si>
    <t>GIJ006</t>
  </si>
  <si>
    <t>GIJ007</t>
  </si>
  <si>
    <t>GIJ008</t>
  </si>
  <si>
    <t>GIJ009</t>
  </si>
  <si>
    <t>GIJ010</t>
  </si>
  <si>
    <t>GIJ011</t>
  </si>
  <si>
    <t>GIJ012</t>
  </si>
  <si>
    <t>GIJ013</t>
  </si>
  <si>
    <t>GIJ014</t>
  </si>
  <si>
    <t>GIJ015</t>
  </si>
  <si>
    <t>GIJ016</t>
  </si>
  <si>
    <t>GIJ017</t>
  </si>
  <si>
    <t>GIJ018</t>
  </si>
  <si>
    <t>GIJ019</t>
  </si>
  <si>
    <t>GIJ020</t>
  </si>
  <si>
    <t>GIJ021</t>
  </si>
  <si>
    <t>GIJ022</t>
  </si>
  <si>
    <t>GIJ023</t>
  </si>
  <si>
    <t>GIJ024</t>
  </si>
  <si>
    <t>GIJ025</t>
  </si>
  <si>
    <t>GIJ026</t>
  </si>
  <si>
    <t>GIJ027</t>
  </si>
  <si>
    <t>GIJ028</t>
  </si>
  <si>
    <t>GIJ029</t>
  </si>
  <si>
    <t>GIJ030</t>
  </si>
  <si>
    <t>GIJ031</t>
  </si>
  <si>
    <t>GIJ032</t>
  </si>
  <si>
    <t>GIJ033</t>
  </si>
  <si>
    <t>GIJ034</t>
  </si>
  <si>
    <t>GIJ035</t>
  </si>
  <si>
    <t>GIJ036</t>
  </si>
  <si>
    <t>GIJ037</t>
  </si>
  <si>
    <t>GIJ038</t>
  </si>
  <si>
    <t>GIJ039</t>
  </si>
  <si>
    <t>GIJ040</t>
  </si>
  <si>
    <t>London</t>
  </si>
  <si>
    <t>Employee_Fullname</t>
  </si>
  <si>
    <t>Startdate</t>
  </si>
  <si>
    <t>CUS001</t>
  </si>
  <si>
    <t>CUS002</t>
  </si>
  <si>
    <t>CUS003</t>
  </si>
  <si>
    <t>CUS004</t>
  </si>
  <si>
    <t>CUS005</t>
  </si>
  <si>
    <t>CUS006</t>
  </si>
  <si>
    <t>CUS007</t>
  </si>
  <si>
    <t>CUS008</t>
  </si>
  <si>
    <t>CUS009</t>
  </si>
  <si>
    <t>CUS010</t>
  </si>
  <si>
    <t>CUS011</t>
  </si>
  <si>
    <t>CUS012</t>
  </si>
  <si>
    <t>CUS013</t>
  </si>
  <si>
    <t>CUS014</t>
  </si>
  <si>
    <t>CUS015</t>
  </si>
  <si>
    <t>CUS016</t>
  </si>
  <si>
    <t>CUS017</t>
  </si>
  <si>
    <t>CUS018</t>
  </si>
  <si>
    <t>CUS019</t>
  </si>
  <si>
    <t>CUS020</t>
  </si>
  <si>
    <t>CUS021</t>
  </si>
  <si>
    <t>CUS022</t>
  </si>
  <si>
    <t>CUS023</t>
  </si>
  <si>
    <t>CUS024</t>
  </si>
  <si>
    <t>CUS025</t>
  </si>
  <si>
    <t>CUS026</t>
  </si>
  <si>
    <t>CUS027</t>
  </si>
  <si>
    <t>CUS028</t>
  </si>
  <si>
    <t>CUS029</t>
  </si>
  <si>
    <t>CUS030</t>
  </si>
  <si>
    <t>CUS031</t>
  </si>
  <si>
    <t>CUS032</t>
  </si>
  <si>
    <t>CUS033</t>
  </si>
  <si>
    <t>CUS034</t>
  </si>
  <si>
    <t>CUS035</t>
  </si>
  <si>
    <t>CUS036</t>
  </si>
  <si>
    <t>CUS037</t>
  </si>
  <si>
    <t>CUS038</t>
  </si>
  <si>
    <t>CUS039</t>
  </si>
  <si>
    <t>CUS040</t>
  </si>
  <si>
    <t>CUS041</t>
  </si>
  <si>
    <t>CUS042</t>
  </si>
  <si>
    <t>CUS043</t>
  </si>
  <si>
    <t>CUS044</t>
  </si>
  <si>
    <t>CUS045</t>
  </si>
  <si>
    <t>CUS046</t>
  </si>
  <si>
    <t>CUS047</t>
  </si>
  <si>
    <t>CUS048</t>
  </si>
  <si>
    <t>CUS049</t>
  </si>
  <si>
    <t>CUS050</t>
  </si>
  <si>
    <t>Title</t>
  </si>
  <si>
    <t>Firstname</t>
  </si>
  <si>
    <t>Lastname</t>
  </si>
  <si>
    <t>Area</t>
  </si>
  <si>
    <t>Rank</t>
  </si>
  <si>
    <t>Preferred_payment</t>
  </si>
  <si>
    <t>Phoneumber</t>
  </si>
  <si>
    <t>PRD001</t>
  </si>
  <si>
    <t>PRD002</t>
  </si>
  <si>
    <t>PRD003</t>
  </si>
  <si>
    <t>PRD004</t>
  </si>
  <si>
    <t>PRD005</t>
  </si>
  <si>
    <t>PRD006</t>
  </si>
  <si>
    <t>PRD007</t>
  </si>
  <si>
    <t>PRD008</t>
  </si>
  <si>
    <t>PRD009</t>
  </si>
  <si>
    <t>PRD010</t>
  </si>
  <si>
    <t>PRD011</t>
  </si>
  <si>
    <t>PRD012</t>
  </si>
  <si>
    <t>Name</t>
  </si>
  <si>
    <t>Cost</t>
  </si>
  <si>
    <t>2015</t>
  </si>
  <si>
    <t>2016</t>
  </si>
  <si>
    <t>2014</t>
  </si>
  <si>
    <t>Summer 2014</t>
  </si>
  <si>
    <t>Summer 2015</t>
  </si>
  <si>
    <t>Summer 2016</t>
  </si>
  <si>
    <t>Winter 2014</t>
  </si>
  <si>
    <t>Winter 2015</t>
  </si>
  <si>
    <t>Winter 2016</t>
  </si>
  <si>
    <t>Pay_Type</t>
  </si>
  <si>
    <t>Quantity</t>
  </si>
  <si>
    <t>Total_Quantity</t>
  </si>
  <si>
    <t>Managers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</si>
</sst>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"/>
    <numFmt numFmtId="165" formatCode="[$-409]d\-mmm\-yyyy;@"/>
    <numFmt numFmtId="166" formatCode="[$-409]mmmm\ d\,\ yyyy;@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  <charset val="161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  <charset val="161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  <font>
      <sz val="8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5" fillId="23" borderId="7" applyNumberFormat="0" applyFont="0" applyAlignment="0" applyProtection="0"/>
    <xf numFmtId="0" fontId="16" fillId="20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15" fillId="0" borderId="0"/>
    <xf numFmtId="9" fontId="2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21" fillId="0" borderId="0" xfId="0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0" fontId="2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1" fillId="0" borderId="0" xfId="0" applyFont="1" applyAlignment="1">
      <alignment horizontal="center" vertical="center"/>
    </xf>
    <xf numFmtId="166" fontId="0" fillId="0" borderId="0" xfId="0" applyNumberFormat="1"/>
    <xf numFmtId="49" fontId="0" fillId="0" borderId="0" xfId="0" applyNumberFormat="1"/>
    <xf numFmtId="1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65" fontId="2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21" fillId="0" borderId="0" xfId="0" applyNumberFormat="1" applyFont="1" applyAlignment="1">
      <alignment wrapText="1"/>
    </xf>
    <xf numFmtId="49" fontId="2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21" fillId="0" borderId="0" xfId="0" applyNumberFormat="1" applyFont="1"/>
    <xf numFmtId="37" fontId="22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164" fontId="21" fillId="0" borderId="0" xfId="0" applyNumberFormat="1" applyFont="1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66" fontId="22" fillId="0" borderId="0" xfId="0" applyNumberFormat="1" applyFont="1" applyAlignment="1">
      <alignment horizontal="center" vertical="center"/>
    </xf>
    <xf numFmtId="166" fontId="21" fillId="0" borderId="0" xfId="0" applyNumberFormat="1" applyFont="1" applyAlignment="1">
      <alignment horizontal="center" vertical="center"/>
    </xf>
    <xf numFmtId="1" fontId="21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2" xr:uid="{00000000-0005-0000-0000-000012000000}"/>
    <cellStyle name="Normal 3" xfId="44" xr:uid="{00000000-0005-0000-0000-000013000000}"/>
    <cellStyle name="Note" xfId="37" builtinId="10" customBuiltin="1"/>
    <cellStyle name="Output" xfId="38" builtinId="21" customBuiltin="1"/>
    <cellStyle name="Percent 2" xfId="43" xr:uid="{00000000-0005-0000-0000-000014000000}"/>
    <cellStyle name="Percent 3" xfId="45" xr:uid="{00000000-0005-0000-0000-000015000000}"/>
    <cellStyle name="Title" xfId="39" builtinId="15" customBuiltin="1"/>
    <cellStyle name="Total" xfId="40" builtinId="25" customBuiltin="1"/>
    <cellStyle name="Warning Text" xfId="41" builtinId="11" customBuiltin="1"/>
  </cellStyles>
  <dxfs count="57"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-409]mmmm\ d\,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5" formatCode="[$-409]d\-mmm\-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#,##0;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5" formatCode="[$-409]d\-mmm\-yyyy;@"/>
      <alignment horizontal="center" vertical="center" textRotation="0" wrapText="0" indent="0" justifyLastLine="0" shrinkToFit="0" readingOrder="0"/>
    </dxf>
    <dxf>
      <numFmt numFmtId="165" formatCode="[$-409]d\-mmm\-yyyy;@"/>
      <alignment horizontal="center" vertical="center" textRotation="0" wrapText="0" indent="0" justifyLastLine="0" shrinkToFit="0" readingOrder="0"/>
    </dxf>
    <dxf>
      <numFmt numFmtId="165" formatCode="[$-409]d\-mmm\-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[$-409]d\-mmm\-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5" formatCode="[$-409]d\-mmm\-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B9F4B-6022-4C20-A2E9-863187377E05}" name="Table1" displayName="Table1" ref="A1:I41" totalsRowShown="0" dataDxfId="56">
  <autoFilter ref="A1:I41" xr:uid="{690B9F4B-6022-4C20-A2E9-863187377E05}"/>
  <tableColumns count="9">
    <tableColumn id="1" xr3:uid="{1320EF59-DC96-420E-89FC-BE77710870BC}" name="Employee_ID" dataDxfId="55"/>
    <tableColumn id="2" xr3:uid="{AC30BE62-89C3-43A9-8DD3-87756976F1B4}" name="Employee_Title" dataDxfId="54">
      <calculatedColumnFormula>IF(r_choice($M$3:$M$4)="M","Mr","Ms")</calculatedColumnFormula>
    </tableColumn>
    <tableColumn id="3" xr3:uid="{73E271F8-80C1-494D-9928-E09C652CDBD0}" name="Employee_name" dataDxfId="53">
      <calculatedColumnFormula>IF(B2="Mr.",r_fname_m(),r_fname_f())</calculatedColumnFormula>
    </tableColumn>
    <tableColumn id="4" xr3:uid="{303106C1-D4B1-4D8C-9A31-6AD238D32F0E}" name="Employee_surname" dataDxfId="52">
      <calculatedColumnFormula>r_lname()</calculatedColumnFormula>
    </tableColumn>
    <tableColumn id="5" xr3:uid="{488210A0-E049-474A-A087-363AD75B3FFF}" name="Birthdate" dataDxfId="51">
      <calculatedColumnFormula>r_date(1975,1,1987,1)</calculatedColumnFormula>
    </tableColumn>
    <tableColumn id="6" xr3:uid="{993C7734-F32D-4489-8AD5-6502FB190A08}" name="Address" dataDxfId="50">
      <calculatedColumnFormula>r_integer(1, 200)&amp;" "&amp;r_lname()&amp;" "&amp;r_choice($M$8:$M$12)</calculatedColumnFormula>
    </tableColumn>
    <tableColumn id="7" xr3:uid="{24A3E507-945D-4929-BEAA-38E928BA55DA}" name="Phonenumber" dataDxfId="49">
      <calculatedColumnFormula>r_integer(6993000000,6993999999)</calculatedColumnFormula>
    </tableColumn>
    <tableColumn id="8" xr3:uid="{5819D6A4-0ADE-4D0F-BCB9-8FB3B30C68F6}" name="Bonus" dataDxfId="48">
      <calculatedColumnFormula>r_integer(3,8)</calculatedColumnFormula>
    </tableColumn>
    <tableColumn id="9" xr3:uid="{18A8E6AE-6CFA-46CD-A316-514E600D6391}" name="Managers" dataDxfId="0">
      <calculatedColumnFormula array="1">r_choice(Table1[Employee_ID])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206C07-AE0A-451D-9049-1A955CE7FA45}" name="Table2" displayName="Table2" ref="A1:J41" totalsRowShown="0" headerRowDxfId="47" dataDxfId="46">
  <autoFilter ref="A1:J41" xr:uid="{0C206C07-AE0A-451D-9049-1A955CE7FA45}"/>
  <tableColumns count="10">
    <tableColumn id="1" xr3:uid="{11A2F4D0-A950-4576-ABE3-396B343FECE8}" name="Assignment_ID" dataDxfId="45"/>
    <tableColumn id="2" xr3:uid="{B88FF76E-B5B2-426C-B674-0ABAA0EC4651}" name="Employee_ID" dataDxfId="44">
      <calculatedColumnFormula>Employees!A2</calculatedColumnFormula>
    </tableColumn>
    <tableColumn id="3" xr3:uid="{1551B969-9FC6-47B9-9EE1-5D04F3662BFF}" name="Employee_Fullname" dataDxfId="43">
      <calculatedColumnFormula>Employees!B2 &amp; " " &amp; Employees!C2 &amp; " " &amp; Employees!D2</calculatedColumnFormula>
    </tableColumn>
    <tableColumn id="4" xr3:uid="{5CAE68E8-0262-479A-A9DC-09E27F50551E}" name="Position" dataDxfId="42">
      <calculatedColumnFormula>r_choice($L$4:$L$6)</calculatedColumnFormula>
    </tableColumn>
    <tableColumn id="5" xr3:uid="{726EC14B-065A-48C8-A11B-E53AD6E473BC}" name="Task" dataDxfId="41">
      <calculatedColumnFormula>r_choice($L$9:$L$12)</calculatedColumnFormula>
    </tableColumn>
    <tableColumn id="6" xr3:uid="{F7150011-C3A9-4691-8487-0DDFE67F1526}" name="Location" dataDxfId="40">
      <calculatedColumnFormula>r_choice($L$15:$L$21)</calculatedColumnFormula>
    </tableColumn>
    <tableColumn id="7" xr3:uid="{86555389-2726-457E-B604-5C0CF5B31515}" name="Startdate" dataDxfId="39">
      <calculatedColumnFormula>IF(ISNUMBER(SEARCH(2014,I2)),r_date(2013,1,2013,9),IF(ISNUMBER(SEARCH(2015,I2)),r_date(2014,1,2014,9),r_date(2015,1,2015,9)))</calculatedColumnFormula>
    </tableColumn>
    <tableColumn id="8" xr3:uid="{373FE9CD-5D82-442D-9159-17AC603EAD9B}" name="EndDate" dataDxfId="38">
      <calculatedColumnFormula>IF(ISNUMBER(SEARCH(Summer,I2)),G2+r_integer(90,180),G2+r_integer(90,270))</calculatedColumnFormula>
    </tableColumn>
    <tableColumn id="9" xr3:uid="{9938C7D5-6C87-4891-B89B-1BA0E615B63C}" name="Collection" dataDxfId="37">
      <calculatedColumnFormula>r_choice($N$4:$N$5)&amp;" Collection "&amp;r_choice($O$4:$O$6)</calculatedColumnFormula>
    </tableColumn>
    <tableColumn id="10" xr3:uid="{0F387B19-82D1-41CE-BCBE-B40AABB923F0}" name="Payment" dataDxfId="36">
      <calculatedColumnFormula>r_integer(25,50)*100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9CEFA1-D9C7-4995-982A-BCA4D3BDA0A3}" name="Table3" displayName="Table3" ref="A1:J52" totalsRowShown="0" headerRowDxfId="35" dataDxfId="34">
  <autoFilter ref="A1:J52" xr:uid="{9D9CEFA1-D9C7-4995-982A-BCA4D3BDA0A3}"/>
  <tableColumns count="10">
    <tableColumn id="1" xr3:uid="{87091674-DC24-4BF2-A737-A40EC863B18E}" name="Customer_ID" dataDxfId="33"/>
    <tableColumn id="2" xr3:uid="{83D18216-C075-4861-8F39-344C96767D81}" name="Title" dataDxfId="32"/>
    <tableColumn id="3" xr3:uid="{3B318E4E-491F-4BCA-9920-0A38BB4C1180}" name="Firstname" dataDxfId="31"/>
    <tableColumn id="4" xr3:uid="{3228D1CA-8CFD-4A4D-80F8-1CC446615FE8}" name="Lastname" dataDxfId="30"/>
    <tableColumn id="5" xr3:uid="{1ACBA89F-A24C-4020-9FF0-337FA5307D6D}" name="BirthDate" dataDxfId="29"/>
    <tableColumn id="6" xr3:uid="{F601E07B-3E18-4A89-A094-333132C43131}" name="Address" dataDxfId="28"/>
    <tableColumn id="7" xr3:uid="{B9648F4E-B754-43AF-950C-5AE90FCF9452}" name="Phonenumber" dataDxfId="27"/>
    <tableColumn id="8" xr3:uid="{08938926-D454-41A3-851E-6F035068F324}" name="Area" dataDxfId="26"/>
    <tableColumn id="9" xr3:uid="{F87ACD19-EE53-4432-B575-7C1238F26018}" name="Rank" dataDxfId="25"/>
    <tableColumn id="10" xr3:uid="{8862BA35-C481-4E24-993B-A5E28617E042}" name="Preferred_payment" dataDxfId="24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D1D2B7C-1F7D-4B00-80E4-5EBBD594E220}" name="Table4" displayName="Table4" ref="A1:E13" totalsRowShown="0" headerRowDxfId="23" dataDxfId="22">
  <autoFilter ref="A1:E13" xr:uid="{BD1D2B7C-1F7D-4B00-80E4-5EBBD594E220}"/>
  <tableColumns count="5">
    <tableColumn id="1" xr3:uid="{A01F58F9-5809-4507-97FF-C3DE304FB65E}" name="Product_ID" dataDxfId="21"/>
    <tableColumn id="2" xr3:uid="{EEB8FCE7-CCFB-4B33-BE89-46471BB26EAA}" name="Name" dataDxfId="20"/>
    <tableColumn id="3" xr3:uid="{2DD9BD09-D9B9-4A32-9C6F-DEB9034E4B2B}" name="Collection" dataDxfId="19"/>
    <tableColumn id="4" xr3:uid="{FB7D9EF2-2D4E-4137-9814-7106F5E312A2}" name="Cost" dataDxfId="18"/>
    <tableColumn id="5" xr3:uid="{61DA4CB2-0171-4DBB-9E46-F638105D41B8}" name="Price" dataDxfId="17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C3EE01B-E74F-4590-A1C2-83EF73486953}" name="Table5" displayName="Table5" ref="A1:G51" totalsRowShown="0" headerRowDxfId="16" dataDxfId="15">
  <autoFilter ref="A1:G51" xr:uid="{7C3EE01B-E74F-4590-A1C2-83EF73486953}"/>
  <tableColumns count="7">
    <tableColumn id="1" xr3:uid="{414767EA-4C58-491C-B060-A7A78FED6674}" name="Order_ID" dataDxfId="14"/>
    <tableColumn id="2" xr3:uid="{BA8D22C3-7D70-47AB-B330-A8F3064AE47B}" name="Customer_ID" dataDxfId="13">
      <calculatedColumnFormula>Customers!A2</calculatedColumnFormula>
    </tableColumn>
    <tableColumn id="3" xr3:uid="{979C95C1-E7C8-469E-AFF8-9D33F7BD7D74}" name="Order_Date" dataDxfId="12">
      <calculatedColumnFormula>r_date(2016,1,2021,1)</calculatedColumnFormula>
    </tableColumn>
    <tableColumn id="4" xr3:uid="{3BAA28D5-EFCE-434A-B6FF-BC9A55175F55}" name="Pay_Type" dataDxfId="11">
      <calculatedColumnFormula>r_choice($I$9:$I$11)</calculatedColumnFormula>
    </tableColumn>
    <tableColumn id="5" xr3:uid="{2946EFD8-D331-46AE-B3C6-172689D0F39E}" name="Order_Status" dataDxfId="10">
      <calculatedColumnFormula>r_choice($I$4:$I$6)</calculatedColumnFormula>
    </tableColumn>
    <tableColumn id="6" xr3:uid="{8D42DCD0-13E3-4441-9E4D-C254F3B01107}" name="Cost_FirstShipment" dataDxfId="9">
      <calculatedColumnFormula>r_integer(400,500)</calculatedColumnFormula>
    </tableColumn>
    <tableColumn id="7" xr3:uid="{D6BAA0AD-4FCA-4866-8C58-9162C80340A9}" name="Cost_SecondShipment" dataDxfId="8">
      <calculatedColumnFormula>r_integer(400,500)</calculatedColumnFormula>
    </tableColumn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32F621F-B378-4DBB-96F8-B1609A8E2928}" name="Table6" displayName="Table6" ref="A1:E151" totalsRowShown="0" headerRowDxfId="7" dataDxfId="6">
  <autoFilter ref="A1:E151" xr:uid="{032F621F-B378-4DBB-96F8-B1609A8E2928}"/>
  <sortState xmlns:xlrd2="http://schemas.microsoft.com/office/spreadsheetml/2017/richdata2" ref="A2:E151">
    <sortCondition descending="1" ref="A1:A151"/>
  </sortState>
  <tableColumns count="5">
    <tableColumn id="1" xr3:uid="{0D17FF02-2D93-4E77-92F1-64F3B3458FD5}" name="Order_ID" dataDxfId="5">
      <calculatedColumnFormula>r_choice(Orders!$A$2:$A$51)</calculatedColumnFormula>
    </tableColumn>
    <tableColumn id="2" xr3:uid="{14F8D212-F93F-42EC-98CE-618B206936C8}" name="Product_ID" dataDxfId="4">
      <calculatedColumnFormula>r_choice(Products!$A$2:$A$13)</calculatedColumnFormula>
    </tableColumn>
    <tableColumn id="3" xr3:uid="{D9C6721A-F72A-4882-AFCF-8C20108AE358}" name="Total_Quantity" dataDxfId="3">
      <calculatedColumnFormula>r_integer(50,200)</calculatedColumnFormula>
    </tableColumn>
    <tableColumn id="4" xr3:uid="{3BD5BF77-8149-426D-8065-237EC825A36F}" name="Quantity_FirstShipment" dataDxfId="2">
      <calculatedColumnFormula>r_integer(30,C2-30)</calculatedColumnFormula>
    </tableColumn>
    <tableColumn id="5" xr3:uid="{E993BD19-E19E-478F-87DD-AE6BA87BCF11}" name="Quantity_SecondShipment" dataDxfId="1">
      <calculatedColumnFormula>C2-D2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21"/>
  <sheetViews>
    <sheetView topLeftCell="A2375" workbookViewId="0">
      <selection activeCell="F1" sqref="F1:F2421"/>
    </sheetView>
  </sheetViews>
  <sheetFormatPr defaultRowHeight="13.2" x14ac:dyDescent="0.25"/>
  <sheetData>
    <row r="1" spans="1:6" x14ac:dyDescent="0.25">
      <c r="A1" t="s">
        <v>0</v>
      </c>
      <c r="C1" t="s">
        <v>862</v>
      </c>
      <c r="F1" t="s">
        <v>243</v>
      </c>
    </row>
    <row r="2" spans="1:6" x14ac:dyDescent="0.25">
      <c r="A2" t="s">
        <v>1</v>
      </c>
      <c r="C2" t="s">
        <v>863</v>
      </c>
      <c r="F2" t="s">
        <v>244</v>
      </c>
    </row>
    <row r="3" spans="1:6" x14ac:dyDescent="0.25">
      <c r="A3" t="s">
        <v>2</v>
      </c>
      <c r="C3" t="s">
        <v>864</v>
      </c>
      <c r="F3" t="s">
        <v>245</v>
      </c>
    </row>
    <row r="4" spans="1:6" x14ac:dyDescent="0.25">
      <c r="A4" t="s">
        <v>3</v>
      </c>
      <c r="C4" t="s">
        <v>865</v>
      </c>
      <c r="F4" t="s">
        <v>246</v>
      </c>
    </row>
    <row r="5" spans="1:6" x14ac:dyDescent="0.25">
      <c r="A5" t="s">
        <v>4</v>
      </c>
      <c r="C5" t="s">
        <v>866</v>
      </c>
      <c r="F5" t="s">
        <v>247</v>
      </c>
    </row>
    <row r="6" spans="1:6" x14ac:dyDescent="0.25">
      <c r="A6" t="s">
        <v>5</v>
      </c>
      <c r="C6" t="s">
        <v>867</v>
      </c>
      <c r="F6" t="s">
        <v>248</v>
      </c>
    </row>
    <row r="7" spans="1:6" x14ac:dyDescent="0.25">
      <c r="A7" t="s">
        <v>6</v>
      </c>
      <c r="C7" t="s">
        <v>868</v>
      </c>
      <c r="F7" t="s">
        <v>249</v>
      </c>
    </row>
    <row r="8" spans="1:6" x14ac:dyDescent="0.25">
      <c r="A8" t="s">
        <v>7</v>
      </c>
      <c r="C8" t="s">
        <v>869</v>
      </c>
      <c r="F8" t="s">
        <v>250</v>
      </c>
    </row>
    <row r="9" spans="1:6" x14ac:dyDescent="0.25">
      <c r="A9" t="s">
        <v>8</v>
      </c>
      <c r="C9" t="s">
        <v>870</v>
      </c>
      <c r="F9" t="s">
        <v>251</v>
      </c>
    </row>
    <row r="10" spans="1:6" x14ac:dyDescent="0.25">
      <c r="A10" t="s">
        <v>9</v>
      </c>
      <c r="C10" t="s">
        <v>871</v>
      </c>
      <c r="F10" t="s">
        <v>252</v>
      </c>
    </row>
    <row r="11" spans="1:6" x14ac:dyDescent="0.25">
      <c r="A11" t="s">
        <v>10</v>
      </c>
      <c r="C11" t="s">
        <v>872</v>
      </c>
      <c r="F11" t="s">
        <v>253</v>
      </c>
    </row>
    <row r="12" spans="1:6" x14ac:dyDescent="0.25">
      <c r="A12" t="s">
        <v>11</v>
      </c>
      <c r="C12" t="s">
        <v>873</v>
      </c>
      <c r="F12" t="s">
        <v>254</v>
      </c>
    </row>
    <row r="13" spans="1:6" x14ac:dyDescent="0.25">
      <c r="A13" t="s">
        <v>12</v>
      </c>
      <c r="C13" t="s">
        <v>874</v>
      </c>
      <c r="F13" t="s">
        <v>255</v>
      </c>
    </row>
    <row r="14" spans="1:6" x14ac:dyDescent="0.25">
      <c r="A14" t="s">
        <v>13</v>
      </c>
      <c r="C14" t="s">
        <v>875</v>
      </c>
      <c r="F14" t="s">
        <v>256</v>
      </c>
    </row>
    <row r="15" spans="1:6" x14ac:dyDescent="0.25">
      <c r="A15" t="s">
        <v>14</v>
      </c>
      <c r="C15" t="s">
        <v>876</v>
      </c>
      <c r="F15" t="s">
        <v>257</v>
      </c>
    </row>
    <row r="16" spans="1:6" x14ac:dyDescent="0.25">
      <c r="A16" t="s">
        <v>15</v>
      </c>
      <c r="C16" t="s">
        <v>877</v>
      </c>
      <c r="F16" t="s">
        <v>258</v>
      </c>
    </row>
    <row r="17" spans="1:6" x14ac:dyDescent="0.25">
      <c r="A17" t="s">
        <v>16</v>
      </c>
      <c r="C17" t="s">
        <v>878</v>
      </c>
      <c r="F17" t="s">
        <v>259</v>
      </c>
    </row>
    <row r="18" spans="1:6" x14ac:dyDescent="0.25">
      <c r="A18" t="s">
        <v>17</v>
      </c>
      <c r="C18" t="s">
        <v>879</v>
      </c>
      <c r="F18" t="s">
        <v>260</v>
      </c>
    </row>
    <row r="19" spans="1:6" x14ac:dyDescent="0.25">
      <c r="A19" t="s">
        <v>18</v>
      </c>
      <c r="C19" t="s">
        <v>880</v>
      </c>
      <c r="F19" t="s">
        <v>261</v>
      </c>
    </row>
    <row r="20" spans="1:6" x14ac:dyDescent="0.25">
      <c r="A20" t="s">
        <v>19</v>
      </c>
      <c r="C20" t="s">
        <v>881</v>
      </c>
      <c r="F20" t="s">
        <v>262</v>
      </c>
    </row>
    <row r="21" spans="1:6" x14ac:dyDescent="0.25">
      <c r="A21" t="s">
        <v>20</v>
      </c>
      <c r="C21" t="s">
        <v>882</v>
      </c>
      <c r="F21" t="s">
        <v>263</v>
      </c>
    </row>
    <row r="22" spans="1:6" x14ac:dyDescent="0.25">
      <c r="A22" t="s">
        <v>21</v>
      </c>
      <c r="C22" t="s">
        <v>883</v>
      </c>
      <c r="F22" t="s">
        <v>264</v>
      </c>
    </row>
    <row r="23" spans="1:6" x14ac:dyDescent="0.25">
      <c r="A23" t="s">
        <v>22</v>
      </c>
      <c r="C23" t="s">
        <v>884</v>
      </c>
      <c r="F23" t="s">
        <v>265</v>
      </c>
    </row>
    <row r="24" spans="1:6" x14ac:dyDescent="0.25">
      <c r="A24" t="s">
        <v>23</v>
      </c>
      <c r="C24" t="s">
        <v>885</v>
      </c>
      <c r="F24" t="s">
        <v>266</v>
      </c>
    </row>
    <row r="25" spans="1:6" x14ac:dyDescent="0.25">
      <c r="A25" t="s">
        <v>24</v>
      </c>
      <c r="C25" t="s">
        <v>886</v>
      </c>
      <c r="F25" t="s">
        <v>267</v>
      </c>
    </row>
    <row r="26" spans="1:6" x14ac:dyDescent="0.25">
      <c r="A26" t="s">
        <v>25</v>
      </c>
      <c r="C26" t="s">
        <v>887</v>
      </c>
      <c r="F26" t="s">
        <v>268</v>
      </c>
    </row>
    <row r="27" spans="1:6" x14ac:dyDescent="0.25">
      <c r="A27" t="s">
        <v>26</v>
      </c>
      <c r="C27" t="s">
        <v>888</v>
      </c>
      <c r="F27" t="s">
        <v>269</v>
      </c>
    </row>
    <row r="28" spans="1:6" x14ac:dyDescent="0.25">
      <c r="A28" t="s">
        <v>27</v>
      </c>
      <c r="C28" t="s">
        <v>889</v>
      </c>
      <c r="F28" t="s">
        <v>270</v>
      </c>
    </row>
    <row r="29" spans="1:6" x14ac:dyDescent="0.25">
      <c r="A29" t="s">
        <v>28</v>
      </c>
      <c r="C29" t="s">
        <v>890</v>
      </c>
      <c r="F29" t="s">
        <v>271</v>
      </c>
    </row>
    <row r="30" spans="1:6" x14ac:dyDescent="0.25">
      <c r="A30" t="s">
        <v>29</v>
      </c>
      <c r="C30" t="s">
        <v>891</v>
      </c>
      <c r="F30" t="s">
        <v>272</v>
      </c>
    </row>
    <row r="31" spans="1:6" x14ac:dyDescent="0.25">
      <c r="A31" t="s">
        <v>30</v>
      </c>
      <c r="C31" t="s">
        <v>892</v>
      </c>
      <c r="F31" t="s">
        <v>273</v>
      </c>
    </row>
    <row r="32" spans="1:6" x14ac:dyDescent="0.25">
      <c r="A32" t="s">
        <v>31</v>
      </c>
      <c r="C32" t="s">
        <v>893</v>
      </c>
      <c r="F32" t="s">
        <v>229</v>
      </c>
    </row>
    <row r="33" spans="1:6" x14ac:dyDescent="0.25">
      <c r="A33" t="s">
        <v>32</v>
      </c>
      <c r="C33" t="s">
        <v>894</v>
      </c>
      <c r="F33" t="s">
        <v>274</v>
      </c>
    </row>
    <row r="34" spans="1:6" x14ac:dyDescent="0.25">
      <c r="A34" t="s">
        <v>33</v>
      </c>
      <c r="C34" t="s">
        <v>895</v>
      </c>
      <c r="F34" t="s">
        <v>275</v>
      </c>
    </row>
    <row r="35" spans="1:6" x14ac:dyDescent="0.25">
      <c r="A35" t="s">
        <v>34</v>
      </c>
      <c r="C35" t="s">
        <v>896</v>
      </c>
      <c r="F35" t="s">
        <v>276</v>
      </c>
    </row>
    <row r="36" spans="1:6" x14ac:dyDescent="0.25">
      <c r="A36" t="s">
        <v>35</v>
      </c>
      <c r="C36" t="s">
        <v>897</v>
      </c>
      <c r="F36" t="s">
        <v>277</v>
      </c>
    </row>
    <row r="37" spans="1:6" x14ac:dyDescent="0.25">
      <c r="A37" t="s">
        <v>36</v>
      </c>
      <c r="C37" t="s">
        <v>898</v>
      </c>
      <c r="F37" t="s">
        <v>278</v>
      </c>
    </row>
    <row r="38" spans="1:6" x14ac:dyDescent="0.25">
      <c r="A38" t="s">
        <v>37</v>
      </c>
      <c r="C38" t="s">
        <v>899</v>
      </c>
      <c r="F38" t="s">
        <v>279</v>
      </c>
    </row>
    <row r="39" spans="1:6" x14ac:dyDescent="0.25">
      <c r="A39" t="s">
        <v>38</v>
      </c>
      <c r="C39" t="s">
        <v>900</v>
      </c>
      <c r="F39" t="s">
        <v>280</v>
      </c>
    </row>
    <row r="40" spans="1:6" x14ac:dyDescent="0.25">
      <c r="A40" t="s">
        <v>39</v>
      </c>
      <c r="C40" t="s">
        <v>901</v>
      </c>
      <c r="F40" t="s">
        <v>281</v>
      </c>
    </row>
    <row r="41" spans="1:6" x14ac:dyDescent="0.25">
      <c r="A41" t="s">
        <v>40</v>
      </c>
      <c r="C41" t="s">
        <v>902</v>
      </c>
      <c r="F41" t="s">
        <v>282</v>
      </c>
    </row>
    <row r="42" spans="1:6" x14ac:dyDescent="0.25">
      <c r="A42" t="s">
        <v>41</v>
      </c>
      <c r="C42" t="s">
        <v>903</v>
      </c>
      <c r="F42" t="s">
        <v>283</v>
      </c>
    </row>
    <row r="43" spans="1:6" x14ac:dyDescent="0.25">
      <c r="A43" t="s">
        <v>42</v>
      </c>
      <c r="C43" t="s">
        <v>904</v>
      </c>
      <c r="F43" t="s">
        <v>284</v>
      </c>
    </row>
    <row r="44" spans="1:6" x14ac:dyDescent="0.25">
      <c r="A44" t="s">
        <v>43</v>
      </c>
      <c r="C44" t="s">
        <v>905</v>
      </c>
      <c r="F44" t="s">
        <v>285</v>
      </c>
    </row>
    <row r="45" spans="1:6" x14ac:dyDescent="0.25">
      <c r="A45" t="s">
        <v>44</v>
      </c>
      <c r="C45" t="s">
        <v>906</v>
      </c>
      <c r="F45" t="s">
        <v>286</v>
      </c>
    </row>
    <row r="46" spans="1:6" x14ac:dyDescent="0.25">
      <c r="A46" t="s">
        <v>45</v>
      </c>
      <c r="C46" t="s">
        <v>907</v>
      </c>
      <c r="F46" t="s">
        <v>287</v>
      </c>
    </row>
    <row r="47" spans="1:6" x14ac:dyDescent="0.25">
      <c r="A47" t="s">
        <v>46</v>
      </c>
      <c r="C47" t="s">
        <v>908</v>
      </c>
      <c r="F47" t="s">
        <v>288</v>
      </c>
    </row>
    <row r="48" spans="1:6" x14ac:dyDescent="0.25">
      <c r="A48" t="s">
        <v>47</v>
      </c>
      <c r="C48" t="s">
        <v>909</v>
      </c>
      <c r="F48" t="s">
        <v>289</v>
      </c>
    </row>
    <row r="49" spans="1:6" x14ac:dyDescent="0.25">
      <c r="A49" t="s">
        <v>48</v>
      </c>
      <c r="C49" t="s">
        <v>910</v>
      </c>
      <c r="F49" t="s">
        <v>290</v>
      </c>
    </row>
    <row r="50" spans="1:6" x14ac:dyDescent="0.25">
      <c r="A50" t="s">
        <v>49</v>
      </c>
      <c r="C50" t="s">
        <v>911</v>
      </c>
      <c r="F50" t="s">
        <v>291</v>
      </c>
    </row>
    <row r="51" spans="1:6" x14ac:dyDescent="0.25">
      <c r="A51" t="s">
        <v>50</v>
      </c>
      <c r="C51" t="s">
        <v>912</v>
      </c>
      <c r="F51" t="s">
        <v>292</v>
      </c>
    </row>
    <row r="52" spans="1:6" x14ac:dyDescent="0.25">
      <c r="A52" t="s">
        <v>51</v>
      </c>
      <c r="C52" t="s">
        <v>913</v>
      </c>
      <c r="F52" t="s">
        <v>293</v>
      </c>
    </row>
    <row r="53" spans="1:6" x14ac:dyDescent="0.25">
      <c r="A53" t="s">
        <v>52</v>
      </c>
      <c r="C53" t="s">
        <v>914</v>
      </c>
      <c r="F53" t="s">
        <v>294</v>
      </c>
    </row>
    <row r="54" spans="1:6" x14ac:dyDescent="0.25">
      <c r="A54" t="s">
        <v>53</v>
      </c>
      <c r="C54" t="s">
        <v>915</v>
      </c>
      <c r="F54" t="s">
        <v>295</v>
      </c>
    </row>
    <row r="55" spans="1:6" x14ac:dyDescent="0.25">
      <c r="A55" t="s">
        <v>54</v>
      </c>
      <c r="C55" t="s">
        <v>916</v>
      </c>
      <c r="F55" t="s">
        <v>296</v>
      </c>
    </row>
    <row r="56" spans="1:6" x14ac:dyDescent="0.25">
      <c r="A56" t="s">
        <v>55</v>
      </c>
      <c r="C56" t="s">
        <v>917</v>
      </c>
      <c r="F56" t="s">
        <v>297</v>
      </c>
    </row>
    <row r="57" spans="1:6" x14ac:dyDescent="0.25">
      <c r="A57" t="s">
        <v>56</v>
      </c>
      <c r="C57" t="s">
        <v>918</v>
      </c>
      <c r="F57" t="s">
        <v>298</v>
      </c>
    </row>
    <row r="58" spans="1:6" x14ac:dyDescent="0.25">
      <c r="A58" t="s">
        <v>57</v>
      </c>
      <c r="C58" t="s">
        <v>919</v>
      </c>
      <c r="F58" t="s">
        <v>299</v>
      </c>
    </row>
    <row r="59" spans="1:6" x14ac:dyDescent="0.25">
      <c r="A59" t="s">
        <v>58</v>
      </c>
      <c r="C59" t="s">
        <v>920</v>
      </c>
      <c r="F59" t="s">
        <v>300</v>
      </c>
    </row>
    <row r="60" spans="1:6" x14ac:dyDescent="0.25">
      <c r="A60" t="s">
        <v>59</v>
      </c>
      <c r="C60" t="s">
        <v>921</v>
      </c>
      <c r="F60" t="s">
        <v>301</v>
      </c>
    </row>
    <row r="61" spans="1:6" x14ac:dyDescent="0.25">
      <c r="A61" t="s">
        <v>60</v>
      </c>
      <c r="C61" t="s">
        <v>922</v>
      </c>
      <c r="F61" t="s">
        <v>302</v>
      </c>
    </row>
    <row r="62" spans="1:6" x14ac:dyDescent="0.25">
      <c r="A62" t="s">
        <v>61</v>
      </c>
      <c r="C62" t="s">
        <v>923</v>
      </c>
      <c r="F62" t="s">
        <v>303</v>
      </c>
    </row>
    <row r="63" spans="1:6" x14ac:dyDescent="0.25">
      <c r="A63" t="s">
        <v>62</v>
      </c>
      <c r="C63" t="s">
        <v>924</v>
      </c>
      <c r="F63" t="s">
        <v>304</v>
      </c>
    </row>
    <row r="64" spans="1:6" x14ac:dyDescent="0.25">
      <c r="A64" t="s">
        <v>63</v>
      </c>
      <c r="C64" t="s">
        <v>925</v>
      </c>
      <c r="F64" t="s">
        <v>305</v>
      </c>
    </row>
    <row r="65" spans="1:6" x14ac:dyDescent="0.25">
      <c r="A65" t="s">
        <v>64</v>
      </c>
      <c r="C65" t="s">
        <v>926</v>
      </c>
      <c r="F65" t="s">
        <v>306</v>
      </c>
    </row>
    <row r="66" spans="1:6" x14ac:dyDescent="0.25">
      <c r="A66" t="s">
        <v>65</v>
      </c>
      <c r="C66" t="s">
        <v>927</v>
      </c>
      <c r="F66" t="s">
        <v>307</v>
      </c>
    </row>
    <row r="67" spans="1:6" x14ac:dyDescent="0.25">
      <c r="A67" t="s">
        <v>66</v>
      </c>
      <c r="C67" t="s">
        <v>928</v>
      </c>
      <c r="F67" t="s">
        <v>308</v>
      </c>
    </row>
    <row r="68" spans="1:6" x14ac:dyDescent="0.25">
      <c r="A68" t="s">
        <v>67</v>
      </c>
      <c r="C68" t="s">
        <v>929</v>
      </c>
      <c r="F68" t="s">
        <v>309</v>
      </c>
    </row>
    <row r="69" spans="1:6" x14ac:dyDescent="0.25">
      <c r="A69" t="s">
        <v>68</v>
      </c>
      <c r="C69" t="s">
        <v>930</v>
      </c>
      <c r="F69" t="s">
        <v>310</v>
      </c>
    </row>
    <row r="70" spans="1:6" x14ac:dyDescent="0.25">
      <c r="A70" t="s">
        <v>69</v>
      </c>
      <c r="C70" t="s">
        <v>931</v>
      </c>
      <c r="F70" t="s">
        <v>311</v>
      </c>
    </row>
    <row r="71" spans="1:6" x14ac:dyDescent="0.25">
      <c r="A71" t="s">
        <v>70</v>
      </c>
      <c r="C71" t="s">
        <v>932</v>
      </c>
      <c r="F71" t="s">
        <v>312</v>
      </c>
    </row>
    <row r="72" spans="1:6" x14ac:dyDescent="0.25">
      <c r="A72" t="s">
        <v>71</v>
      </c>
      <c r="C72" t="s">
        <v>933</v>
      </c>
      <c r="F72" t="s">
        <v>313</v>
      </c>
    </row>
    <row r="73" spans="1:6" x14ac:dyDescent="0.25">
      <c r="A73" t="s">
        <v>72</v>
      </c>
      <c r="C73" t="s">
        <v>934</v>
      </c>
      <c r="F73" t="s">
        <v>314</v>
      </c>
    </row>
    <row r="74" spans="1:6" x14ac:dyDescent="0.25">
      <c r="A74" t="s">
        <v>73</v>
      </c>
      <c r="C74" t="s">
        <v>935</v>
      </c>
      <c r="F74" t="s">
        <v>315</v>
      </c>
    </row>
    <row r="75" spans="1:6" x14ac:dyDescent="0.25">
      <c r="A75" t="s">
        <v>74</v>
      </c>
      <c r="C75" t="s">
        <v>936</v>
      </c>
      <c r="F75" t="s">
        <v>316</v>
      </c>
    </row>
    <row r="76" spans="1:6" x14ac:dyDescent="0.25">
      <c r="A76" t="s">
        <v>75</v>
      </c>
      <c r="C76" t="s">
        <v>937</v>
      </c>
      <c r="F76" t="s">
        <v>317</v>
      </c>
    </row>
    <row r="77" spans="1:6" x14ac:dyDescent="0.25">
      <c r="A77" t="s">
        <v>76</v>
      </c>
      <c r="C77" t="s">
        <v>938</v>
      </c>
      <c r="F77" t="s">
        <v>318</v>
      </c>
    </row>
    <row r="78" spans="1:6" x14ac:dyDescent="0.25">
      <c r="A78" t="s">
        <v>77</v>
      </c>
      <c r="C78" t="s">
        <v>939</v>
      </c>
      <c r="F78" t="s">
        <v>319</v>
      </c>
    </row>
    <row r="79" spans="1:6" x14ac:dyDescent="0.25">
      <c r="A79" t="s">
        <v>78</v>
      </c>
      <c r="C79" t="s">
        <v>940</v>
      </c>
      <c r="F79" t="s">
        <v>320</v>
      </c>
    </row>
    <row r="80" spans="1:6" x14ac:dyDescent="0.25">
      <c r="A80" t="s">
        <v>79</v>
      </c>
      <c r="C80" t="s">
        <v>941</v>
      </c>
      <c r="F80" t="s">
        <v>321</v>
      </c>
    </row>
    <row r="81" spans="1:6" x14ac:dyDescent="0.25">
      <c r="A81" t="s">
        <v>80</v>
      </c>
      <c r="C81" t="s">
        <v>942</v>
      </c>
      <c r="F81" t="s">
        <v>322</v>
      </c>
    </row>
    <row r="82" spans="1:6" x14ac:dyDescent="0.25">
      <c r="A82" t="s">
        <v>81</v>
      </c>
      <c r="C82" t="s">
        <v>943</v>
      </c>
      <c r="F82" t="s">
        <v>323</v>
      </c>
    </row>
    <row r="83" spans="1:6" x14ac:dyDescent="0.25">
      <c r="A83" t="s">
        <v>82</v>
      </c>
      <c r="C83" t="s">
        <v>944</v>
      </c>
      <c r="F83" t="s">
        <v>324</v>
      </c>
    </row>
    <row r="84" spans="1:6" x14ac:dyDescent="0.25">
      <c r="A84" t="s">
        <v>83</v>
      </c>
      <c r="C84" t="s">
        <v>945</v>
      </c>
      <c r="F84" t="s">
        <v>325</v>
      </c>
    </row>
    <row r="85" spans="1:6" x14ac:dyDescent="0.25">
      <c r="A85" t="s">
        <v>84</v>
      </c>
      <c r="C85" t="s">
        <v>946</v>
      </c>
      <c r="F85" t="s">
        <v>326</v>
      </c>
    </row>
    <row r="86" spans="1:6" x14ac:dyDescent="0.25">
      <c r="A86" t="s">
        <v>85</v>
      </c>
      <c r="C86" t="s">
        <v>947</v>
      </c>
      <c r="F86" t="s">
        <v>327</v>
      </c>
    </row>
    <row r="87" spans="1:6" x14ac:dyDescent="0.25">
      <c r="A87" t="s">
        <v>86</v>
      </c>
      <c r="C87" t="s">
        <v>948</v>
      </c>
      <c r="F87" t="s">
        <v>13</v>
      </c>
    </row>
    <row r="88" spans="1:6" x14ac:dyDescent="0.25">
      <c r="A88" t="s">
        <v>87</v>
      </c>
      <c r="C88" t="s">
        <v>949</v>
      </c>
      <c r="F88" t="s">
        <v>328</v>
      </c>
    </row>
    <row r="89" spans="1:6" x14ac:dyDescent="0.25">
      <c r="A89" t="s">
        <v>88</v>
      </c>
      <c r="C89" t="s">
        <v>950</v>
      </c>
      <c r="F89" t="s">
        <v>329</v>
      </c>
    </row>
    <row r="90" spans="1:6" x14ac:dyDescent="0.25">
      <c r="A90" t="s">
        <v>89</v>
      </c>
      <c r="C90" t="s">
        <v>951</v>
      </c>
      <c r="F90" t="s">
        <v>330</v>
      </c>
    </row>
    <row r="91" spans="1:6" x14ac:dyDescent="0.25">
      <c r="A91" t="s">
        <v>90</v>
      </c>
      <c r="C91" t="s">
        <v>952</v>
      </c>
      <c r="F91" t="s">
        <v>331</v>
      </c>
    </row>
    <row r="92" spans="1:6" x14ac:dyDescent="0.25">
      <c r="A92" t="s">
        <v>91</v>
      </c>
      <c r="C92" t="s">
        <v>953</v>
      </c>
      <c r="F92" t="s">
        <v>332</v>
      </c>
    </row>
    <row r="93" spans="1:6" x14ac:dyDescent="0.25">
      <c r="A93" t="s">
        <v>92</v>
      </c>
      <c r="C93" t="s">
        <v>954</v>
      </c>
      <c r="F93" t="s">
        <v>333</v>
      </c>
    </row>
    <row r="94" spans="1:6" x14ac:dyDescent="0.25">
      <c r="A94" t="s">
        <v>93</v>
      </c>
      <c r="C94" t="s">
        <v>955</v>
      </c>
      <c r="F94" t="s">
        <v>334</v>
      </c>
    </row>
    <row r="95" spans="1:6" x14ac:dyDescent="0.25">
      <c r="A95" t="s">
        <v>94</v>
      </c>
      <c r="C95" t="s">
        <v>956</v>
      </c>
      <c r="F95" t="s">
        <v>335</v>
      </c>
    </row>
    <row r="96" spans="1:6" x14ac:dyDescent="0.25">
      <c r="A96" t="s">
        <v>95</v>
      </c>
      <c r="C96" t="s">
        <v>957</v>
      </c>
      <c r="F96" t="s">
        <v>336</v>
      </c>
    </row>
    <row r="97" spans="1:6" x14ac:dyDescent="0.25">
      <c r="A97" t="s">
        <v>96</v>
      </c>
      <c r="C97" t="s">
        <v>958</v>
      </c>
      <c r="F97" t="s">
        <v>337</v>
      </c>
    </row>
    <row r="98" spans="1:6" x14ac:dyDescent="0.25">
      <c r="A98" t="s">
        <v>97</v>
      </c>
      <c r="C98" t="s">
        <v>959</v>
      </c>
      <c r="F98" t="s">
        <v>338</v>
      </c>
    </row>
    <row r="99" spans="1:6" x14ac:dyDescent="0.25">
      <c r="A99" t="s">
        <v>98</v>
      </c>
      <c r="C99" t="s">
        <v>960</v>
      </c>
      <c r="F99" t="s">
        <v>339</v>
      </c>
    </row>
    <row r="100" spans="1:6" x14ac:dyDescent="0.25">
      <c r="A100" t="s">
        <v>99</v>
      </c>
      <c r="C100" t="s">
        <v>961</v>
      </c>
      <c r="F100" t="s">
        <v>340</v>
      </c>
    </row>
    <row r="101" spans="1:6" x14ac:dyDescent="0.25">
      <c r="A101" t="s">
        <v>100</v>
      </c>
      <c r="C101" t="s">
        <v>962</v>
      </c>
      <c r="F101" t="s">
        <v>341</v>
      </c>
    </row>
    <row r="102" spans="1:6" x14ac:dyDescent="0.25">
      <c r="A102" t="s">
        <v>101</v>
      </c>
      <c r="C102" t="s">
        <v>963</v>
      </c>
      <c r="F102" t="s">
        <v>342</v>
      </c>
    </row>
    <row r="103" spans="1:6" x14ac:dyDescent="0.25">
      <c r="A103" t="s">
        <v>102</v>
      </c>
      <c r="C103" t="s">
        <v>964</v>
      </c>
      <c r="F103" t="s">
        <v>343</v>
      </c>
    </row>
    <row r="104" spans="1:6" x14ac:dyDescent="0.25">
      <c r="A104" t="s">
        <v>103</v>
      </c>
      <c r="C104" t="s">
        <v>965</v>
      </c>
      <c r="F104" t="s">
        <v>344</v>
      </c>
    </row>
    <row r="105" spans="1:6" x14ac:dyDescent="0.25">
      <c r="A105" t="s">
        <v>104</v>
      </c>
      <c r="C105" t="s">
        <v>966</v>
      </c>
      <c r="F105" t="s">
        <v>345</v>
      </c>
    </row>
    <row r="106" spans="1:6" x14ac:dyDescent="0.25">
      <c r="A106" t="s">
        <v>105</v>
      </c>
      <c r="C106" t="s">
        <v>967</v>
      </c>
      <c r="F106" t="s">
        <v>346</v>
      </c>
    </row>
    <row r="107" spans="1:6" x14ac:dyDescent="0.25">
      <c r="A107" t="s">
        <v>106</v>
      </c>
      <c r="C107" t="s">
        <v>968</v>
      </c>
      <c r="F107" t="s">
        <v>347</v>
      </c>
    </row>
    <row r="108" spans="1:6" x14ac:dyDescent="0.25">
      <c r="A108" t="s">
        <v>107</v>
      </c>
      <c r="C108" t="s">
        <v>969</v>
      </c>
      <c r="F108" t="s">
        <v>348</v>
      </c>
    </row>
    <row r="109" spans="1:6" x14ac:dyDescent="0.25">
      <c r="A109" t="s">
        <v>108</v>
      </c>
      <c r="C109" t="s">
        <v>970</v>
      </c>
      <c r="F109" t="s">
        <v>349</v>
      </c>
    </row>
    <row r="110" spans="1:6" x14ac:dyDescent="0.25">
      <c r="A110" t="s">
        <v>109</v>
      </c>
      <c r="C110" t="s">
        <v>971</v>
      </c>
      <c r="F110" t="s">
        <v>350</v>
      </c>
    </row>
    <row r="111" spans="1:6" x14ac:dyDescent="0.25">
      <c r="A111" t="s">
        <v>110</v>
      </c>
      <c r="C111" t="s">
        <v>972</v>
      </c>
      <c r="F111" t="s">
        <v>351</v>
      </c>
    </row>
    <row r="112" spans="1:6" x14ac:dyDescent="0.25">
      <c r="A112" t="s">
        <v>111</v>
      </c>
      <c r="C112" t="s">
        <v>973</v>
      </c>
      <c r="F112" t="s">
        <v>352</v>
      </c>
    </row>
    <row r="113" spans="1:6" x14ac:dyDescent="0.25">
      <c r="A113" t="s">
        <v>112</v>
      </c>
      <c r="C113" t="s">
        <v>974</v>
      </c>
      <c r="F113" t="s">
        <v>353</v>
      </c>
    </row>
    <row r="114" spans="1:6" x14ac:dyDescent="0.25">
      <c r="A114" t="s">
        <v>113</v>
      </c>
      <c r="C114" t="s">
        <v>975</v>
      </c>
      <c r="F114" t="s">
        <v>354</v>
      </c>
    </row>
    <row r="115" spans="1:6" x14ac:dyDescent="0.25">
      <c r="A115" t="s">
        <v>114</v>
      </c>
      <c r="C115" t="s">
        <v>976</v>
      </c>
      <c r="F115" t="s">
        <v>355</v>
      </c>
    </row>
    <row r="116" spans="1:6" x14ac:dyDescent="0.25">
      <c r="A116" t="s">
        <v>115</v>
      </c>
      <c r="C116" t="s">
        <v>977</v>
      </c>
      <c r="F116" t="s">
        <v>356</v>
      </c>
    </row>
    <row r="117" spans="1:6" x14ac:dyDescent="0.25">
      <c r="A117" t="s">
        <v>116</v>
      </c>
      <c r="C117" t="s">
        <v>978</v>
      </c>
      <c r="F117" t="s">
        <v>357</v>
      </c>
    </row>
    <row r="118" spans="1:6" x14ac:dyDescent="0.25">
      <c r="A118" t="s">
        <v>117</v>
      </c>
      <c r="C118" t="s">
        <v>979</v>
      </c>
      <c r="F118" t="s">
        <v>358</v>
      </c>
    </row>
    <row r="119" spans="1:6" x14ac:dyDescent="0.25">
      <c r="A119" t="s">
        <v>118</v>
      </c>
      <c r="C119" t="s">
        <v>980</v>
      </c>
      <c r="F119" t="s">
        <v>359</v>
      </c>
    </row>
    <row r="120" spans="1:6" x14ac:dyDescent="0.25">
      <c r="A120" t="s">
        <v>119</v>
      </c>
      <c r="C120" t="s">
        <v>981</v>
      </c>
      <c r="F120" t="s">
        <v>360</v>
      </c>
    </row>
    <row r="121" spans="1:6" x14ac:dyDescent="0.25">
      <c r="A121" t="s">
        <v>120</v>
      </c>
      <c r="C121" t="s">
        <v>982</v>
      </c>
      <c r="F121" t="s">
        <v>361</v>
      </c>
    </row>
    <row r="122" spans="1:6" x14ac:dyDescent="0.25">
      <c r="A122" t="s">
        <v>121</v>
      </c>
      <c r="C122" t="s">
        <v>983</v>
      </c>
      <c r="F122" t="s">
        <v>362</v>
      </c>
    </row>
    <row r="123" spans="1:6" x14ac:dyDescent="0.25">
      <c r="A123" t="s">
        <v>122</v>
      </c>
      <c r="C123" t="s">
        <v>984</v>
      </c>
      <c r="F123" t="s">
        <v>363</v>
      </c>
    </row>
    <row r="124" spans="1:6" x14ac:dyDescent="0.25">
      <c r="A124" t="s">
        <v>123</v>
      </c>
      <c r="C124" t="s">
        <v>985</v>
      </c>
      <c r="F124" t="s">
        <v>364</v>
      </c>
    </row>
    <row r="125" spans="1:6" x14ac:dyDescent="0.25">
      <c r="A125" t="s">
        <v>124</v>
      </c>
      <c r="C125" t="s">
        <v>986</v>
      </c>
      <c r="F125" t="s">
        <v>365</v>
      </c>
    </row>
    <row r="126" spans="1:6" x14ac:dyDescent="0.25">
      <c r="A126" t="s">
        <v>125</v>
      </c>
      <c r="C126" t="s">
        <v>987</v>
      </c>
      <c r="F126" t="s">
        <v>366</v>
      </c>
    </row>
    <row r="127" spans="1:6" x14ac:dyDescent="0.25">
      <c r="A127" t="s">
        <v>126</v>
      </c>
      <c r="C127" t="s">
        <v>988</v>
      </c>
      <c r="F127" t="s">
        <v>367</v>
      </c>
    </row>
    <row r="128" spans="1:6" x14ac:dyDescent="0.25">
      <c r="A128" t="s">
        <v>127</v>
      </c>
      <c r="C128" t="s">
        <v>989</v>
      </c>
      <c r="F128" t="s">
        <v>368</v>
      </c>
    </row>
    <row r="129" spans="1:6" x14ac:dyDescent="0.25">
      <c r="A129" t="s">
        <v>128</v>
      </c>
      <c r="C129" t="s">
        <v>990</v>
      </c>
      <c r="F129" t="s">
        <v>369</v>
      </c>
    </row>
    <row r="130" spans="1:6" x14ac:dyDescent="0.25">
      <c r="A130" t="s">
        <v>129</v>
      </c>
      <c r="C130" t="s">
        <v>991</v>
      </c>
      <c r="F130" t="s">
        <v>370</v>
      </c>
    </row>
    <row r="131" spans="1:6" x14ac:dyDescent="0.25">
      <c r="A131" t="s">
        <v>130</v>
      </c>
      <c r="C131" t="s">
        <v>992</v>
      </c>
      <c r="F131" t="s">
        <v>371</v>
      </c>
    </row>
    <row r="132" spans="1:6" x14ac:dyDescent="0.25">
      <c r="A132" t="s">
        <v>131</v>
      </c>
      <c r="C132" t="s">
        <v>993</v>
      </c>
      <c r="F132" t="s">
        <v>372</v>
      </c>
    </row>
    <row r="133" spans="1:6" x14ac:dyDescent="0.25">
      <c r="A133" t="s">
        <v>132</v>
      </c>
      <c r="C133" t="s">
        <v>994</v>
      </c>
      <c r="F133" t="s">
        <v>373</v>
      </c>
    </row>
    <row r="134" spans="1:6" x14ac:dyDescent="0.25">
      <c r="A134" t="s">
        <v>133</v>
      </c>
      <c r="C134" t="s">
        <v>995</v>
      </c>
      <c r="F134" t="s">
        <v>374</v>
      </c>
    </row>
    <row r="135" spans="1:6" x14ac:dyDescent="0.25">
      <c r="A135" t="s">
        <v>134</v>
      </c>
      <c r="C135" t="s">
        <v>996</v>
      </c>
      <c r="F135" t="s">
        <v>375</v>
      </c>
    </row>
    <row r="136" spans="1:6" x14ac:dyDescent="0.25">
      <c r="A136" t="s">
        <v>135</v>
      </c>
      <c r="C136" t="s">
        <v>997</v>
      </c>
      <c r="F136" t="s">
        <v>376</v>
      </c>
    </row>
    <row r="137" spans="1:6" x14ac:dyDescent="0.25">
      <c r="A137" t="s">
        <v>136</v>
      </c>
      <c r="C137" t="s">
        <v>998</v>
      </c>
      <c r="F137" t="s">
        <v>377</v>
      </c>
    </row>
    <row r="138" spans="1:6" x14ac:dyDescent="0.25">
      <c r="A138" t="s">
        <v>137</v>
      </c>
      <c r="C138" t="s">
        <v>999</v>
      </c>
      <c r="F138" t="s">
        <v>378</v>
      </c>
    </row>
    <row r="139" spans="1:6" x14ac:dyDescent="0.25">
      <c r="A139" t="s">
        <v>138</v>
      </c>
      <c r="C139" t="s">
        <v>1000</v>
      </c>
      <c r="F139" t="s">
        <v>379</v>
      </c>
    </row>
    <row r="140" spans="1:6" x14ac:dyDescent="0.25">
      <c r="A140" t="s">
        <v>139</v>
      </c>
      <c r="C140" t="s">
        <v>1001</v>
      </c>
      <c r="F140" t="s">
        <v>380</v>
      </c>
    </row>
    <row r="141" spans="1:6" x14ac:dyDescent="0.25">
      <c r="A141" t="s">
        <v>140</v>
      </c>
      <c r="C141" t="s">
        <v>1002</v>
      </c>
      <c r="F141" t="s">
        <v>381</v>
      </c>
    </row>
    <row r="142" spans="1:6" x14ac:dyDescent="0.25">
      <c r="A142" t="s">
        <v>141</v>
      </c>
      <c r="C142" t="s">
        <v>1003</v>
      </c>
      <c r="F142" t="s">
        <v>382</v>
      </c>
    </row>
    <row r="143" spans="1:6" x14ac:dyDescent="0.25">
      <c r="A143" t="s">
        <v>142</v>
      </c>
      <c r="C143" t="s">
        <v>1004</v>
      </c>
      <c r="F143" t="s">
        <v>383</v>
      </c>
    </row>
    <row r="144" spans="1:6" x14ac:dyDescent="0.25">
      <c r="A144" t="s">
        <v>143</v>
      </c>
      <c r="C144" t="s">
        <v>1005</v>
      </c>
      <c r="F144" t="s">
        <v>384</v>
      </c>
    </row>
    <row r="145" spans="1:6" x14ac:dyDescent="0.25">
      <c r="A145" t="s">
        <v>144</v>
      </c>
      <c r="C145" t="s">
        <v>1006</v>
      </c>
      <c r="F145" t="s">
        <v>385</v>
      </c>
    </row>
    <row r="146" spans="1:6" x14ac:dyDescent="0.25">
      <c r="A146" t="s">
        <v>145</v>
      </c>
      <c r="C146" t="s">
        <v>1007</v>
      </c>
      <c r="F146" t="s">
        <v>386</v>
      </c>
    </row>
    <row r="147" spans="1:6" x14ac:dyDescent="0.25">
      <c r="A147" t="s">
        <v>146</v>
      </c>
      <c r="C147" t="s">
        <v>1008</v>
      </c>
      <c r="F147" t="s">
        <v>387</v>
      </c>
    </row>
    <row r="148" spans="1:6" x14ac:dyDescent="0.25">
      <c r="A148" t="s">
        <v>147</v>
      </c>
      <c r="C148" t="s">
        <v>1009</v>
      </c>
      <c r="F148" t="s">
        <v>388</v>
      </c>
    </row>
    <row r="149" spans="1:6" x14ac:dyDescent="0.25">
      <c r="A149" t="s">
        <v>148</v>
      </c>
      <c r="C149" t="s">
        <v>1010</v>
      </c>
      <c r="F149" t="s">
        <v>389</v>
      </c>
    </row>
    <row r="150" spans="1:6" x14ac:dyDescent="0.25">
      <c r="A150" t="s">
        <v>149</v>
      </c>
      <c r="C150" t="s">
        <v>1011</v>
      </c>
      <c r="F150" t="s">
        <v>390</v>
      </c>
    </row>
    <row r="151" spans="1:6" x14ac:dyDescent="0.25">
      <c r="A151" t="s">
        <v>150</v>
      </c>
      <c r="C151" t="s">
        <v>1012</v>
      </c>
      <c r="F151" t="s">
        <v>391</v>
      </c>
    </row>
    <row r="152" spans="1:6" x14ac:dyDescent="0.25">
      <c r="A152" t="s">
        <v>151</v>
      </c>
      <c r="C152" t="s">
        <v>1013</v>
      </c>
      <c r="F152" t="s">
        <v>392</v>
      </c>
    </row>
    <row r="153" spans="1:6" x14ac:dyDescent="0.25">
      <c r="A153" t="s">
        <v>152</v>
      </c>
      <c r="C153" t="s">
        <v>1014</v>
      </c>
      <c r="F153" t="s">
        <v>393</v>
      </c>
    </row>
    <row r="154" spans="1:6" x14ac:dyDescent="0.25">
      <c r="A154" t="s">
        <v>153</v>
      </c>
      <c r="C154" t="s">
        <v>1015</v>
      </c>
      <c r="F154" t="s">
        <v>394</v>
      </c>
    </row>
    <row r="155" spans="1:6" x14ac:dyDescent="0.25">
      <c r="A155" t="s">
        <v>154</v>
      </c>
      <c r="C155" t="s">
        <v>1016</v>
      </c>
      <c r="F155" t="s">
        <v>395</v>
      </c>
    </row>
    <row r="156" spans="1:6" x14ac:dyDescent="0.25">
      <c r="A156" t="s">
        <v>155</v>
      </c>
      <c r="C156" t="s">
        <v>1017</v>
      </c>
      <c r="F156" t="s">
        <v>396</v>
      </c>
    </row>
    <row r="157" spans="1:6" x14ac:dyDescent="0.25">
      <c r="A157" t="s">
        <v>156</v>
      </c>
      <c r="C157" t="s">
        <v>1018</v>
      </c>
      <c r="F157" t="s">
        <v>397</v>
      </c>
    </row>
    <row r="158" spans="1:6" x14ac:dyDescent="0.25">
      <c r="A158" t="s">
        <v>157</v>
      </c>
      <c r="C158" t="s">
        <v>1019</v>
      </c>
      <c r="F158" t="s">
        <v>398</v>
      </c>
    </row>
    <row r="159" spans="1:6" x14ac:dyDescent="0.25">
      <c r="A159" t="s">
        <v>158</v>
      </c>
      <c r="C159" t="s">
        <v>1020</v>
      </c>
      <c r="F159" t="s">
        <v>399</v>
      </c>
    </row>
    <row r="160" spans="1:6" x14ac:dyDescent="0.25">
      <c r="A160" t="s">
        <v>159</v>
      </c>
      <c r="C160" t="s">
        <v>1021</v>
      </c>
      <c r="F160" t="s">
        <v>400</v>
      </c>
    </row>
    <row r="161" spans="1:6" x14ac:dyDescent="0.25">
      <c r="A161" t="s">
        <v>160</v>
      </c>
      <c r="C161" t="s">
        <v>1022</v>
      </c>
      <c r="F161" t="s">
        <v>401</v>
      </c>
    </row>
    <row r="162" spans="1:6" x14ac:dyDescent="0.25">
      <c r="A162" t="s">
        <v>161</v>
      </c>
      <c r="C162" t="s">
        <v>1023</v>
      </c>
      <c r="F162" t="s">
        <v>402</v>
      </c>
    </row>
    <row r="163" spans="1:6" x14ac:dyDescent="0.25">
      <c r="A163" t="s">
        <v>162</v>
      </c>
      <c r="C163" t="s">
        <v>1024</v>
      </c>
      <c r="F163" t="s">
        <v>403</v>
      </c>
    </row>
    <row r="164" spans="1:6" x14ac:dyDescent="0.25">
      <c r="A164" t="s">
        <v>163</v>
      </c>
      <c r="C164" t="s">
        <v>1025</v>
      </c>
      <c r="F164" t="s">
        <v>404</v>
      </c>
    </row>
    <row r="165" spans="1:6" x14ac:dyDescent="0.25">
      <c r="A165" t="s">
        <v>164</v>
      </c>
      <c r="C165" t="s">
        <v>1026</v>
      </c>
      <c r="F165" t="s">
        <v>405</v>
      </c>
    </row>
    <row r="166" spans="1:6" x14ac:dyDescent="0.25">
      <c r="A166" t="s">
        <v>165</v>
      </c>
      <c r="C166" t="s">
        <v>1027</v>
      </c>
      <c r="F166" t="s">
        <v>406</v>
      </c>
    </row>
    <row r="167" spans="1:6" x14ac:dyDescent="0.25">
      <c r="A167" t="s">
        <v>166</v>
      </c>
      <c r="C167" t="s">
        <v>1028</v>
      </c>
      <c r="F167" t="s">
        <v>407</v>
      </c>
    </row>
    <row r="168" spans="1:6" x14ac:dyDescent="0.25">
      <c r="A168" t="s">
        <v>167</v>
      </c>
      <c r="C168" t="s">
        <v>1029</v>
      </c>
      <c r="F168" t="s">
        <v>408</v>
      </c>
    </row>
    <row r="169" spans="1:6" x14ac:dyDescent="0.25">
      <c r="A169" t="s">
        <v>168</v>
      </c>
      <c r="C169" t="s">
        <v>1030</v>
      </c>
      <c r="F169" t="s">
        <v>409</v>
      </c>
    </row>
    <row r="170" spans="1:6" x14ac:dyDescent="0.25">
      <c r="A170" t="s">
        <v>169</v>
      </c>
      <c r="C170" t="s">
        <v>1031</v>
      </c>
      <c r="F170" t="s">
        <v>410</v>
      </c>
    </row>
    <row r="171" spans="1:6" x14ac:dyDescent="0.25">
      <c r="A171" t="s">
        <v>170</v>
      </c>
      <c r="C171" t="s">
        <v>1032</v>
      </c>
      <c r="F171" t="s">
        <v>411</v>
      </c>
    </row>
    <row r="172" spans="1:6" x14ac:dyDescent="0.25">
      <c r="A172" t="s">
        <v>171</v>
      </c>
      <c r="C172" t="s">
        <v>1033</v>
      </c>
      <c r="F172" t="s">
        <v>412</v>
      </c>
    </row>
    <row r="173" spans="1:6" x14ac:dyDescent="0.25">
      <c r="A173" t="s">
        <v>172</v>
      </c>
      <c r="C173" t="s">
        <v>1034</v>
      </c>
      <c r="F173" t="s">
        <v>413</v>
      </c>
    </row>
    <row r="174" spans="1:6" x14ac:dyDescent="0.25">
      <c r="A174" t="s">
        <v>173</v>
      </c>
      <c r="C174" t="s">
        <v>1035</v>
      </c>
      <c r="F174" t="s">
        <v>414</v>
      </c>
    </row>
    <row r="175" spans="1:6" x14ac:dyDescent="0.25">
      <c r="A175" t="s">
        <v>174</v>
      </c>
      <c r="C175" t="s">
        <v>1036</v>
      </c>
      <c r="F175" t="s">
        <v>415</v>
      </c>
    </row>
    <row r="176" spans="1:6" x14ac:dyDescent="0.25">
      <c r="A176" t="s">
        <v>175</v>
      </c>
      <c r="C176" t="s">
        <v>1037</v>
      </c>
      <c r="F176" t="s">
        <v>416</v>
      </c>
    </row>
    <row r="177" spans="1:6" x14ac:dyDescent="0.25">
      <c r="A177" t="s">
        <v>176</v>
      </c>
      <c r="C177" t="s">
        <v>1038</v>
      </c>
      <c r="F177" t="s">
        <v>417</v>
      </c>
    </row>
    <row r="178" spans="1:6" x14ac:dyDescent="0.25">
      <c r="A178" t="s">
        <v>177</v>
      </c>
      <c r="C178" t="s">
        <v>1039</v>
      </c>
      <c r="F178" t="s">
        <v>418</v>
      </c>
    </row>
    <row r="179" spans="1:6" x14ac:dyDescent="0.25">
      <c r="A179" t="s">
        <v>178</v>
      </c>
      <c r="C179" t="s">
        <v>1040</v>
      </c>
      <c r="F179" t="s">
        <v>419</v>
      </c>
    </row>
    <row r="180" spans="1:6" x14ac:dyDescent="0.25">
      <c r="A180" t="s">
        <v>179</v>
      </c>
      <c r="C180" t="s">
        <v>1041</v>
      </c>
      <c r="F180" t="s">
        <v>420</v>
      </c>
    </row>
    <row r="181" spans="1:6" x14ac:dyDescent="0.25">
      <c r="A181" t="s">
        <v>180</v>
      </c>
      <c r="C181" t="s">
        <v>1042</v>
      </c>
      <c r="F181" t="s">
        <v>421</v>
      </c>
    </row>
    <row r="182" spans="1:6" x14ac:dyDescent="0.25">
      <c r="A182" t="s">
        <v>181</v>
      </c>
      <c r="C182" t="s">
        <v>1043</v>
      </c>
      <c r="F182" t="s">
        <v>422</v>
      </c>
    </row>
    <row r="183" spans="1:6" x14ac:dyDescent="0.25">
      <c r="A183" t="s">
        <v>182</v>
      </c>
      <c r="C183" t="s">
        <v>1044</v>
      </c>
      <c r="F183" t="s">
        <v>423</v>
      </c>
    </row>
    <row r="184" spans="1:6" x14ac:dyDescent="0.25">
      <c r="A184" t="s">
        <v>183</v>
      </c>
      <c r="C184" t="s">
        <v>1045</v>
      </c>
      <c r="F184" t="s">
        <v>424</v>
      </c>
    </row>
    <row r="185" spans="1:6" x14ac:dyDescent="0.25">
      <c r="A185" t="s">
        <v>184</v>
      </c>
      <c r="C185" t="s">
        <v>1046</v>
      </c>
      <c r="F185" t="s">
        <v>425</v>
      </c>
    </row>
    <row r="186" spans="1:6" x14ac:dyDescent="0.25">
      <c r="A186" t="s">
        <v>185</v>
      </c>
      <c r="C186" t="s">
        <v>1047</v>
      </c>
      <c r="F186" t="s">
        <v>426</v>
      </c>
    </row>
    <row r="187" spans="1:6" x14ac:dyDescent="0.25">
      <c r="A187" t="s">
        <v>186</v>
      </c>
      <c r="C187" t="s">
        <v>1048</v>
      </c>
      <c r="F187" t="s">
        <v>427</v>
      </c>
    </row>
    <row r="188" spans="1:6" x14ac:dyDescent="0.25">
      <c r="A188" t="s">
        <v>187</v>
      </c>
      <c r="C188" t="s">
        <v>1049</v>
      </c>
      <c r="F188" t="s">
        <v>428</v>
      </c>
    </row>
    <row r="189" spans="1:6" x14ac:dyDescent="0.25">
      <c r="A189" t="s">
        <v>188</v>
      </c>
      <c r="C189" t="s">
        <v>1050</v>
      </c>
      <c r="F189" t="s">
        <v>429</v>
      </c>
    </row>
    <row r="190" spans="1:6" x14ac:dyDescent="0.25">
      <c r="A190" t="s">
        <v>189</v>
      </c>
      <c r="C190" t="s">
        <v>1051</v>
      </c>
      <c r="F190" t="s">
        <v>430</v>
      </c>
    </row>
    <row r="191" spans="1:6" x14ac:dyDescent="0.25">
      <c r="A191" t="s">
        <v>190</v>
      </c>
      <c r="C191" t="s">
        <v>1052</v>
      </c>
      <c r="F191" t="s">
        <v>431</v>
      </c>
    </row>
    <row r="192" spans="1:6" x14ac:dyDescent="0.25">
      <c r="A192" t="s">
        <v>191</v>
      </c>
      <c r="C192" t="s">
        <v>1053</v>
      </c>
      <c r="F192" t="s">
        <v>432</v>
      </c>
    </row>
    <row r="193" spans="1:6" x14ac:dyDescent="0.25">
      <c r="A193" t="s">
        <v>192</v>
      </c>
      <c r="C193" t="s">
        <v>1054</v>
      </c>
      <c r="F193" t="s">
        <v>433</v>
      </c>
    </row>
    <row r="194" spans="1:6" x14ac:dyDescent="0.25">
      <c r="A194" t="s">
        <v>193</v>
      </c>
      <c r="C194" t="s">
        <v>1055</v>
      </c>
      <c r="F194" t="s">
        <v>434</v>
      </c>
    </row>
    <row r="195" spans="1:6" x14ac:dyDescent="0.25">
      <c r="A195" t="s">
        <v>194</v>
      </c>
      <c r="C195" t="s">
        <v>1056</v>
      </c>
      <c r="F195" t="s">
        <v>435</v>
      </c>
    </row>
    <row r="196" spans="1:6" x14ac:dyDescent="0.25">
      <c r="A196" t="s">
        <v>195</v>
      </c>
      <c r="C196" t="s">
        <v>1057</v>
      </c>
      <c r="F196" t="s">
        <v>436</v>
      </c>
    </row>
    <row r="197" spans="1:6" x14ac:dyDescent="0.25">
      <c r="A197" t="s">
        <v>196</v>
      </c>
      <c r="C197" t="s">
        <v>1058</v>
      </c>
      <c r="F197" t="s">
        <v>437</v>
      </c>
    </row>
    <row r="198" spans="1:6" x14ac:dyDescent="0.25">
      <c r="A198" t="s">
        <v>197</v>
      </c>
      <c r="C198" t="s">
        <v>1059</v>
      </c>
      <c r="F198" t="s">
        <v>438</v>
      </c>
    </row>
    <row r="199" spans="1:6" x14ac:dyDescent="0.25">
      <c r="A199" t="s">
        <v>198</v>
      </c>
      <c r="C199" t="s">
        <v>1060</v>
      </c>
      <c r="F199" t="s">
        <v>439</v>
      </c>
    </row>
    <row r="200" spans="1:6" x14ac:dyDescent="0.25">
      <c r="A200" t="s">
        <v>199</v>
      </c>
      <c r="C200" t="s">
        <v>1061</v>
      </c>
      <c r="F200" t="s">
        <v>440</v>
      </c>
    </row>
    <row r="201" spans="1:6" x14ac:dyDescent="0.25">
      <c r="A201" t="s">
        <v>200</v>
      </c>
      <c r="C201" t="s">
        <v>1062</v>
      </c>
      <c r="F201" t="s">
        <v>441</v>
      </c>
    </row>
    <row r="202" spans="1:6" x14ac:dyDescent="0.25">
      <c r="A202" t="s">
        <v>201</v>
      </c>
      <c r="C202" t="s">
        <v>1063</v>
      </c>
      <c r="F202" t="s">
        <v>442</v>
      </c>
    </row>
    <row r="203" spans="1:6" x14ac:dyDescent="0.25">
      <c r="A203" t="s">
        <v>202</v>
      </c>
      <c r="C203" t="s">
        <v>1064</v>
      </c>
      <c r="F203" t="s">
        <v>443</v>
      </c>
    </row>
    <row r="204" spans="1:6" x14ac:dyDescent="0.25">
      <c r="A204" t="s">
        <v>203</v>
      </c>
      <c r="C204" t="s">
        <v>1065</v>
      </c>
      <c r="F204" t="s">
        <v>444</v>
      </c>
    </row>
    <row r="205" spans="1:6" x14ac:dyDescent="0.25">
      <c r="A205" t="s">
        <v>204</v>
      </c>
      <c r="C205" t="s">
        <v>1066</v>
      </c>
      <c r="F205" t="s">
        <v>445</v>
      </c>
    </row>
    <row r="206" spans="1:6" x14ac:dyDescent="0.25">
      <c r="A206" t="s">
        <v>205</v>
      </c>
      <c r="C206" t="s">
        <v>1067</v>
      </c>
      <c r="F206" t="s">
        <v>446</v>
      </c>
    </row>
    <row r="207" spans="1:6" x14ac:dyDescent="0.25">
      <c r="A207" t="s">
        <v>206</v>
      </c>
      <c r="C207" t="s">
        <v>1068</v>
      </c>
      <c r="F207" t="s">
        <v>447</v>
      </c>
    </row>
    <row r="208" spans="1:6" x14ac:dyDescent="0.25">
      <c r="A208" t="s">
        <v>207</v>
      </c>
      <c r="C208" t="s">
        <v>1069</v>
      </c>
      <c r="F208" t="s">
        <v>448</v>
      </c>
    </row>
    <row r="209" spans="1:6" x14ac:dyDescent="0.25">
      <c r="A209" t="s">
        <v>208</v>
      </c>
      <c r="C209" t="s">
        <v>1070</v>
      </c>
      <c r="F209" t="s">
        <v>449</v>
      </c>
    </row>
    <row r="210" spans="1:6" x14ac:dyDescent="0.25">
      <c r="A210" t="s">
        <v>209</v>
      </c>
      <c r="C210" t="s">
        <v>1071</v>
      </c>
      <c r="F210" t="s">
        <v>450</v>
      </c>
    </row>
    <row r="211" spans="1:6" x14ac:dyDescent="0.25">
      <c r="A211" t="s">
        <v>210</v>
      </c>
      <c r="C211" t="s">
        <v>1072</v>
      </c>
      <c r="F211" t="s">
        <v>451</v>
      </c>
    </row>
    <row r="212" spans="1:6" x14ac:dyDescent="0.25">
      <c r="A212" t="s">
        <v>211</v>
      </c>
      <c r="C212" t="s">
        <v>1073</v>
      </c>
      <c r="F212" t="s">
        <v>452</v>
      </c>
    </row>
    <row r="213" spans="1:6" x14ac:dyDescent="0.25">
      <c r="A213" t="s">
        <v>212</v>
      </c>
      <c r="C213" t="s">
        <v>1074</v>
      </c>
      <c r="F213" t="s">
        <v>453</v>
      </c>
    </row>
    <row r="214" spans="1:6" x14ac:dyDescent="0.25">
      <c r="A214" t="s">
        <v>213</v>
      </c>
      <c r="C214" t="s">
        <v>1075</v>
      </c>
      <c r="F214" t="s">
        <v>454</v>
      </c>
    </row>
    <row r="215" spans="1:6" x14ac:dyDescent="0.25">
      <c r="A215" t="s">
        <v>214</v>
      </c>
      <c r="C215" t="s">
        <v>1076</v>
      </c>
      <c r="F215" t="s">
        <v>455</v>
      </c>
    </row>
    <row r="216" spans="1:6" x14ac:dyDescent="0.25">
      <c r="A216" t="s">
        <v>215</v>
      </c>
      <c r="C216" t="s">
        <v>1077</v>
      </c>
      <c r="F216" t="s">
        <v>456</v>
      </c>
    </row>
    <row r="217" spans="1:6" x14ac:dyDescent="0.25">
      <c r="A217" t="s">
        <v>216</v>
      </c>
      <c r="C217" t="s">
        <v>1078</v>
      </c>
      <c r="F217" t="s">
        <v>457</v>
      </c>
    </row>
    <row r="218" spans="1:6" x14ac:dyDescent="0.25">
      <c r="A218" t="s">
        <v>217</v>
      </c>
      <c r="C218" t="s">
        <v>1079</v>
      </c>
      <c r="F218" t="s">
        <v>458</v>
      </c>
    </row>
    <row r="219" spans="1:6" x14ac:dyDescent="0.25">
      <c r="A219" t="s">
        <v>218</v>
      </c>
      <c r="C219" t="s">
        <v>1080</v>
      </c>
      <c r="F219" t="s">
        <v>459</v>
      </c>
    </row>
    <row r="220" spans="1:6" x14ac:dyDescent="0.25">
      <c r="A220" t="s">
        <v>219</v>
      </c>
      <c r="C220" t="s">
        <v>1081</v>
      </c>
      <c r="F220" t="s">
        <v>460</v>
      </c>
    </row>
    <row r="221" spans="1:6" x14ac:dyDescent="0.25">
      <c r="A221" t="s">
        <v>220</v>
      </c>
      <c r="C221" t="s">
        <v>1082</v>
      </c>
      <c r="F221" t="s">
        <v>461</v>
      </c>
    </row>
    <row r="222" spans="1:6" x14ac:dyDescent="0.25">
      <c r="A222" t="s">
        <v>221</v>
      </c>
      <c r="C222" t="s">
        <v>1083</v>
      </c>
      <c r="F222" t="s">
        <v>462</v>
      </c>
    </row>
    <row r="223" spans="1:6" x14ac:dyDescent="0.25">
      <c r="A223" t="s">
        <v>222</v>
      </c>
      <c r="C223" t="s">
        <v>1084</v>
      </c>
      <c r="F223" t="s">
        <v>463</v>
      </c>
    </row>
    <row r="224" spans="1:6" x14ac:dyDescent="0.25">
      <c r="A224" t="s">
        <v>223</v>
      </c>
      <c r="C224" t="s">
        <v>1085</v>
      </c>
      <c r="F224" t="s">
        <v>464</v>
      </c>
    </row>
    <row r="225" spans="1:6" x14ac:dyDescent="0.25">
      <c r="A225" t="s">
        <v>224</v>
      </c>
      <c r="C225" t="s">
        <v>1086</v>
      </c>
      <c r="F225" t="s">
        <v>465</v>
      </c>
    </row>
    <row r="226" spans="1:6" x14ac:dyDescent="0.25">
      <c r="A226" t="s">
        <v>225</v>
      </c>
      <c r="C226" t="s">
        <v>1087</v>
      </c>
      <c r="F226" t="s">
        <v>466</v>
      </c>
    </row>
    <row r="227" spans="1:6" x14ac:dyDescent="0.25">
      <c r="A227" t="s">
        <v>226</v>
      </c>
      <c r="C227" t="s">
        <v>1088</v>
      </c>
      <c r="F227" t="s">
        <v>467</v>
      </c>
    </row>
    <row r="228" spans="1:6" x14ac:dyDescent="0.25">
      <c r="A228" t="s">
        <v>227</v>
      </c>
      <c r="C228" t="s">
        <v>1089</v>
      </c>
      <c r="F228" t="s">
        <v>468</v>
      </c>
    </row>
    <row r="229" spans="1:6" x14ac:dyDescent="0.25">
      <c r="A229" t="s">
        <v>228</v>
      </c>
      <c r="C229" t="s">
        <v>1090</v>
      </c>
      <c r="F229" t="s">
        <v>469</v>
      </c>
    </row>
    <row r="230" spans="1:6" x14ac:dyDescent="0.25">
      <c r="A230" t="s">
        <v>229</v>
      </c>
      <c r="C230" t="s">
        <v>1091</v>
      </c>
      <c r="F230" t="s">
        <v>470</v>
      </c>
    </row>
    <row r="231" spans="1:6" x14ac:dyDescent="0.25">
      <c r="A231" t="s">
        <v>230</v>
      </c>
      <c r="C231" t="s">
        <v>1092</v>
      </c>
      <c r="F231" t="s">
        <v>471</v>
      </c>
    </row>
    <row r="232" spans="1:6" x14ac:dyDescent="0.25">
      <c r="A232" t="s">
        <v>231</v>
      </c>
      <c r="C232" t="s">
        <v>1093</v>
      </c>
      <c r="F232" t="s">
        <v>472</v>
      </c>
    </row>
    <row r="233" spans="1:6" x14ac:dyDescent="0.25">
      <c r="A233" t="s">
        <v>232</v>
      </c>
      <c r="C233" t="s">
        <v>1094</v>
      </c>
      <c r="F233" t="s">
        <v>473</v>
      </c>
    </row>
    <row r="234" spans="1:6" x14ac:dyDescent="0.25">
      <c r="A234" t="s">
        <v>233</v>
      </c>
      <c r="C234" t="s">
        <v>1095</v>
      </c>
      <c r="F234" t="s">
        <v>474</v>
      </c>
    </row>
    <row r="235" spans="1:6" x14ac:dyDescent="0.25">
      <c r="A235" t="s">
        <v>234</v>
      </c>
      <c r="C235" t="s">
        <v>1096</v>
      </c>
      <c r="F235" t="s">
        <v>475</v>
      </c>
    </row>
    <row r="236" spans="1:6" x14ac:dyDescent="0.25">
      <c r="A236" t="s">
        <v>235</v>
      </c>
      <c r="C236" t="s">
        <v>1097</v>
      </c>
      <c r="F236" t="s">
        <v>476</v>
      </c>
    </row>
    <row r="237" spans="1:6" x14ac:dyDescent="0.25">
      <c r="A237" t="s">
        <v>236</v>
      </c>
      <c r="C237" t="s">
        <v>1098</v>
      </c>
      <c r="F237" t="s">
        <v>477</v>
      </c>
    </row>
    <row r="238" spans="1:6" x14ac:dyDescent="0.25">
      <c r="A238" t="s">
        <v>237</v>
      </c>
      <c r="C238" t="s">
        <v>1099</v>
      </c>
      <c r="F238" t="s">
        <v>478</v>
      </c>
    </row>
    <row r="239" spans="1:6" x14ac:dyDescent="0.25">
      <c r="A239" t="s">
        <v>238</v>
      </c>
      <c r="C239" t="s">
        <v>1100</v>
      </c>
      <c r="F239" t="s">
        <v>479</v>
      </c>
    </row>
    <row r="240" spans="1:6" x14ac:dyDescent="0.25">
      <c r="A240" t="s">
        <v>239</v>
      </c>
      <c r="C240" t="s">
        <v>1101</v>
      </c>
      <c r="F240" t="s">
        <v>480</v>
      </c>
    </row>
    <row r="241" spans="1:6" x14ac:dyDescent="0.25">
      <c r="A241" t="s">
        <v>240</v>
      </c>
      <c r="C241" t="s">
        <v>1102</v>
      </c>
      <c r="F241" t="s">
        <v>481</v>
      </c>
    </row>
    <row r="242" spans="1:6" x14ac:dyDescent="0.25">
      <c r="A242" t="s">
        <v>241</v>
      </c>
      <c r="C242" t="s">
        <v>1103</v>
      </c>
      <c r="F242" t="s">
        <v>482</v>
      </c>
    </row>
    <row r="243" spans="1:6" x14ac:dyDescent="0.25">
      <c r="A243" t="s">
        <v>242</v>
      </c>
      <c r="C243" t="s">
        <v>1104</v>
      </c>
      <c r="F243" t="s">
        <v>483</v>
      </c>
    </row>
    <row r="244" spans="1:6" x14ac:dyDescent="0.25">
      <c r="A244" t="s">
        <v>1166</v>
      </c>
      <c r="C244" t="s">
        <v>1105</v>
      </c>
      <c r="F244" t="s">
        <v>484</v>
      </c>
    </row>
    <row r="245" spans="1:6" x14ac:dyDescent="0.25">
      <c r="A245" t="s">
        <v>3634</v>
      </c>
      <c r="C245" t="s">
        <v>1106</v>
      </c>
      <c r="F245" t="s">
        <v>485</v>
      </c>
    </row>
    <row r="246" spans="1:6" x14ac:dyDescent="0.25">
      <c r="A246" t="s">
        <v>3635</v>
      </c>
      <c r="C246" t="s">
        <v>1107</v>
      </c>
      <c r="F246" t="s">
        <v>486</v>
      </c>
    </row>
    <row r="247" spans="1:6" x14ac:dyDescent="0.25">
      <c r="A247" t="s">
        <v>9</v>
      </c>
      <c r="C247" t="s">
        <v>1108</v>
      </c>
      <c r="F247" t="s">
        <v>487</v>
      </c>
    </row>
    <row r="248" spans="1:6" x14ac:dyDescent="0.25">
      <c r="A248" t="s">
        <v>3636</v>
      </c>
      <c r="C248" t="s">
        <v>1109</v>
      </c>
      <c r="F248" t="s">
        <v>488</v>
      </c>
    </row>
    <row r="249" spans="1:6" x14ac:dyDescent="0.25">
      <c r="A249" t="s">
        <v>1286</v>
      </c>
      <c r="C249" t="s">
        <v>1110</v>
      </c>
      <c r="F249" t="s">
        <v>489</v>
      </c>
    </row>
    <row r="250" spans="1:6" x14ac:dyDescent="0.25">
      <c r="A250" t="s">
        <v>3637</v>
      </c>
      <c r="C250" t="s">
        <v>1111</v>
      </c>
      <c r="F250" t="s">
        <v>490</v>
      </c>
    </row>
    <row r="251" spans="1:6" x14ac:dyDescent="0.25">
      <c r="A251" t="s">
        <v>3638</v>
      </c>
      <c r="C251" t="s">
        <v>1112</v>
      </c>
      <c r="F251" t="s">
        <v>491</v>
      </c>
    </row>
    <row r="252" spans="1:6" x14ac:dyDescent="0.25">
      <c r="A252" t="s">
        <v>2598</v>
      </c>
      <c r="C252" t="s">
        <v>1113</v>
      </c>
      <c r="F252" t="s">
        <v>492</v>
      </c>
    </row>
    <row r="253" spans="1:6" x14ac:dyDescent="0.25">
      <c r="A253" t="s">
        <v>3639</v>
      </c>
      <c r="C253" t="s">
        <v>1114</v>
      </c>
      <c r="F253" t="s">
        <v>493</v>
      </c>
    </row>
    <row r="254" spans="1:6" x14ac:dyDescent="0.25">
      <c r="A254" t="s">
        <v>3640</v>
      </c>
      <c r="C254" t="s">
        <v>1115</v>
      </c>
      <c r="F254" t="s">
        <v>494</v>
      </c>
    </row>
    <row r="255" spans="1:6" x14ac:dyDescent="0.25">
      <c r="A255" t="s">
        <v>3641</v>
      </c>
      <c r="C255" t="s">
        <v>1116</v>
      </c>
      <c r="F255" t="s">
        <v>495</v>
      </c>
    </row>
    <row r="256" spans="1:6" x14ac:dyDescent="0.25">
      <c r="A256" t="s">
        <v>1087</v>
      </c>
      <c r="C256" t="s">
        <v>1117</v>
      </c>
      <c r="F256" t="s">
        <v>496</v>
      </c>
    </row>
    <row r="257" spans="1:6" x14ac:dyDescent="0.25">
      <c r="A257" t="s">
        <v>3642</v>
      </c>
      <c r="C257" t="s">
        <v>1118</v>
      </c>
      <c r="F257" t="s">
        <v>497</v>
      </c>
    </row>
    <row r="258" spans="1:6" x14ac:dyDescent="0.25">
      <c r="A258" t="s">
        <v>3643</v>
      </c>
      <c r="C258" t="s">
        <v>2838</v>
      </c>
      <c r="F258" t="s">
        <v>498</v>
      </c>
    </row>
    <row r="259" spans="1:6" x14ac:dyDescent="0.25">
      <c r="A259" t="s">
        <v>2064</v>
      </c>
      <c r="C259" t="s">
        <v>2839</v>
      </c>
      <c r="F259" t="s">
        <v>499</v>
      </c>
    </row>
    <row r="260" spans="1:6" x14ac:dyDescent="0.25">
      <c r="A260" t="s">
        <v>2039</v>
      </c>
      <c r="C260" t="s">
        <v>2840</v>
      </c>
      <c r="F260" t="s">
        <v>500</v>
      </c>
    </row>
    <row r="261" spans="1:6" x14ac:dyDescent="0.25">
      <c r="A261" t="s">
        <v>3644</v>
      </c>
      <c r="C261" t="s">
        <v>2841</v>
      </c>
      <c r="F261" t="s">
        <v>501</v>
      </c>
    </row>
    <row r="262" spans="1:6" x14ac:dyDescent="0.25">
      <c r="A262" t="s">
        <v>3645</v>
      </c>
      <c r="C262" t="s">
        <v>2842</v>
      </c>
      <c r="F262" t="s">
        <v>502</v>
      </c>
    </row>
    <row r="263" spans="1:6" x14ac:dyDescent="0.25">
      <c r="A263" t="s">
        <v>3646</v>
      </c>
      <c r="C263" t="s">
        <v>2147</v>
      </c>
      <c r="F263" t="s">
        <v>503</v>
      </c>
    </row>
    <row r="264" spans="1:6" x14ac:dyDescent="0.25">
      <c r="A264" t="s">
        <v>2157</v>
      </c>
      <c r="C264" t="s">
        <v>2843</v>
      </c>
      <c r="F264" t="s">
        <v>504</v>
      </c>
    </row>
    <row r="265" spans="1:6" x14ac:dyDescent="0.25">
      <c r="A265" t="s">
        <v>230</v>
      </c>
      <c r="C265" t="s">
        <v>2844</v>
      </c>
      <c r="F265" t="s">
        <v>505</v>
      </c>
    </row>
    <row r="266" spans="1:6" x14ac:dyDescent="0.25">
      <c r="A266" t="s">
        <v>3647</v>
      </c>
      <c r="C266" t="s">
        <v>2845</v>
      </c>
      <c r="F266" t="s">
        <v>506</v>
      </c>
    </row>
    <row r="267" spans="1:6" x14ac:dyDescent="0.25">
      <c r="A267" t="s">
        <v>3648</v>
      </c>
      <c r="C267" t="s">
        <v>2846</v>
      </c>
      <c r="F267" t="s">
        <v>507</v>
      </c>
    </row>
    <row r="268" spans="1:6" x14ac:dyDescent="0.25">
      <c r="A268" t="s">
        <v>182</v>
      </c>
      <c r="C268" t="s">
        <v>2847</v>
      </c>
      <c r="F268" t="s">
        <v>508</v>
      </c>
    </row>
    <row r="269" spans="1:6" x14ac:dyDescent="0.25">
      <c r="A269" t="s">
        <v>3649</v>
      </c>
      <c r="C269" t="s">
        <v>2848</v>
      </c>
      <c r="F269" t="s">
        <v>509</v>
      </c>
    </row>
    <row r="270" spans="1:6" x14ac:dyDescent="0.25">
      <c r="A270" t="s">
        <v>55</v>
      </c>
      <c r="C270" t="s">
        <v>2849</v>
      </c>
      <c r="F270" t="s">
        <v>510</v>
      </c>
    </row>
    <row r="271" spans="1:6" x14ac:dyDescent="0.25">
      <c r="A271" t="s">
        <v>3650</v>
      </c>
      <c r="C271" t="s">
        <v>2850</v>
      </c>
      <c r="F271" t="s">
        <v>511</v>
      </c>
    </row>
    <row r="272" spans="1:6" x14ac:dyDescent="0.25">
      <c r="A272" t="s">
        <v>145</v>
      </c>
      <c r="C272" t="s">
        <v>916</v>
      </c>
      <c r="F272" t="s">
        <v>512</v>
      </c>
    </row>
    <row r="273" spans="1:6" x14ac:dyDescent="0.25">
      <c r="A273" t="s">
        <v>3651</v>
      </c>
      <c r="C273" t="s">
        <v>2851</v>
      </c>
      <c r="F273" t="s">
        <v>513</v>
      </c>
    </row>
    <row r="274" spans="1:6" x14ac:dyDescent="0.25">
      <c r="A274" t="s">
        <v>3652</v>
      </c>
      <c r="C274" t="s">
        <v>2852</v>
      </c>
      <c r="F274" t="s">
        <v>514</v>
      </c>
    </row>
    <row r="275" spans="1:6" x14ac:dyDescent="0.25">
      <c r="A275" t="s">
        <v>3653</v>
      </c>
      <c r="C275" t="s">
        <v>2853</v>
      </c>
      <c r="F275" t="s">
        <v>515</v>
      </c>
    </row>
    <row r="276" spans="1:6" x14ac:dyDescent="0.25">
      <c r="A276" t="s">
        <v>3654</v>
      </c>
      <c r="C276" t="s">
        <v>2854</v>
      </c>
      <c r="F276" t="s">
        <v>516</v>
      </c>
    </row>
    <row r="277" spans="1:6" x14ac:dyDescent="0.25">
      <c r="A277" t="s">
        <v>3655</v>
      </c>
      <c r="C277" t="s">
        <v>2855</v>
      </c>
      <c r="F277" t="s">
        <v>517</v>
      </c>
    </row>
    <row r="278" spans="1:6" x14ac:dyDescent="0.25">
      <c r="A278" t="s">
        <v>259</v>
      </c>
      <c r="C278" t="s">
        <v>2856</v>
      </c>
      <c r="F278" t="s">
        <v>518</v>
      </c>
    </row>
    <row r="279" spans="1:6" x14ac:dyDescent="0.25">
      <c r="A279" t="s">
        <v>3656</v>
      </c>
      <c r="C279" t="s">
        <v>2857</v>
      </c>
      <c r="F279" t="s">
        <v>519</v>
      </c>
    </row>
    <row r="280" spans="1:6" x14ac:dyDescent="0.25">
      <c r="A280" t="s">
        <v>284</v>
      </c>
      <c r="C280" t="s">
        <v>2858</v>
      </c>
      <c r="F280" t="s">
        <v>520</v>
      </c>
    </row>
    <row r="281" spans="1:6" x14ac:dyDescent="0.25">
      <c r="A281" t="s">
        <v>2447</v>
      </c>
      <c r="C281" t="s">
        <v>2859</v>
      </c>
      <c r="F281" t="s">
        <v>521</v>
      </c>
    </row>
    <row r="282" spans="1:6" x14ac:dyDescent="0.25">
      <c r="A282" t="s">
        <v>167</v>
      </c>
      <c r="C282" t="s">
        <v>2860</v>
      </c>
      <c r="F282" t="s">
        <v>522</v>
      </c>
    </row>
    <row r="283" spans="1:6" x14ac:dyDescent="0.25">
      <c r="A283" t="s">
        <v>3657</v>
      </c>
      <c r="C283" t="s">
        <v>2861</v>
      </c>
      <c r="F283" t="s">
        <v>523</v>
      </c>
    </row>
    <row r="284" spans="1:6" x14ac:dyDescent="0.25">
      <c r="A284" t="s">
        <v>303</v>
      </c>
      <c r="C284" t="s">
        <v>2862</v>
      </c>
      <c r="F284" t="s">
        <v>524</v>
      </c>
    </row>
    <row r="285" spans="1:6" x14ac:dyDescent="0.25">
      <c r="A285" t="s">
        <v>3658</v>
      </c>
      <c r="C285" t="s">
        <v>2863</v>
      </c>
      <c r="F285" t="s">
        <v>525</v>
      </c>
    </row>
    <row r="286" spans="1:6" x14ac:dyDescent="0.25">
      <c r="A286" t="s">
        <v>875</v>
      </c>
      <c r="C286" t="s">
        <v>2864</v>
      </c>
      <c r="F286" t="s">
        <v>526</v>
      </c>
    </row>
    <row r="287" spans="1:6" x14ac:dyDescent="0.25">
      <c r="A287" t="s">
        <v>530</v>
      </c>
      <c r="C287" t="s">
        <v>2865</v>
      </c>
      <c r="F287" t="s">
        <v>527</v>
      </c>
    </row>
    <row r="288" spans="1:6" x14ac:dyDescent="0.25">
      <c r="A288" t="s">
        <v>3659</v>
      </c>
      <c r="C288" t="s">
        <v>2866</v>
      </c>
      <c r="F288" t="s">
        <v>528</v>
      </c>
    </row>
    <row r="289" spans="1:6" x14ac:dyDescent="0.25">
      <c r="A289" t="s">
        <v>3660</v>
      </c>
      <c r="C289" t="s">
        <v>2867</v>
      </c>
      <c r="F289" t="s">
        <v>529</v>
      </c>
    </row>
    <row r="290" spans="1:6" x14ac:dyDescent="0.25">
      <c r="A290" t="s">
        <v>225</v>
      </c>
      <c r="C290" t="s">
        <v>2868</v>
      </c>
      <c r="F290" t="s">
        <v>530</v>
      </c>
    </row>
    <row r="291" spans="1:6" x14ac:dyDescent="0.25">
      <c r="A291" t="s">
        <v>105</v>
      </c>
      <c r="C291" t="s">
        <v>2869</v>
      </c>
      <c r="F291" t="s">
        <v>531</v>
      </c>
    </row>
    <row r="292" spans="1:6" x14ac:dyDescent="0.25">
      <c r="A292" t="s">
        <v>1969</v>
      </c>
      <c r="C292" t="s">
        <v>2870</v>
      </c>
      <c r="F292" t="s">
        <v>532</v>
      </c>
    </row>
    <row r="293" spans="1:6" x14ac:dyDescent="0.25">
      <c r="A293" t="s">
        <v>1251</v>
      </c>
      <c r="C293" t="s">
        <v>2871</v>
      </c>
      <c r="F293" t="s">
        <v>533</v>
      </c>
    </row>
    <row r="294" spans="1:6" x14ac:dyDescent="0.25">
      <c r="A294" t="s">
        <v>1334</v>
      </c>
      <c r="C294" t="s">
        <v>2872</v>
      </c>
      <c r="F294" t="s">
        <v>534</v>
      </c>
    </row>
    <row r="295" spans="1:6" x14ac:dyDescent="0.25">
      <c r="A295" t="s">
        <v>3661</v>
      </c>
      <c r="C295" t="s">
        <v>2873</v>
      </c>
      <c r="F295" t="s">
        <v>49</v>
      </c>
    </row>
    <row r="296" spans="1:6" x14ac:dyDescent="0.25">
      <c r="A296" t="s">
        <v>3662</v>
      </c>
      <c r="C296" t="s">
        <v>2874</v>
      </c>
      <c r="F296" t="s">
        <v>535</v>
      </c>
    </row>
    <row r="297" spans="1:6" x14ac:dyDescent="0.25">
      <c r="A297" t="s">
        <v>1122</v>
      </c>
      <c r="C297" t="s">
        <v>2875</v>
      </c>
      <c r="F297" t="s">
        <v>12</v>
      </c>
    </row>
    <row r="298" spans="1:6" x14ac:dyDescent="0.25">
      <c r="A298" t="s">
        <v>3663</v>
      </c>
      <c r="C298" t="s">
        <v>2876</v>
      </c>
      <c r="F298" t="s">
        <v>536</v>
      </c>
    </row>
    <row r="299" spans="1:6" x14ac:dyDescent="0.25">
      <c r="A299" t="s">
        <v>3664</v>
      </c>
      <c r="C299" t="s">
        <v>2877</v>
      </c>
      <c r="F299" t="s">
        <v>537</v>
      </c>
    </row>
    <row r="300" spans="1:6" x14ac:dyDescent="0.25">
      <c r="A300" t="s">
        <v>936</v>
      </c>
      <c r="C300" t="s">
        <v>2878</v>
      </c>
      <c r="F300" t="s">
        <v>538</v>
      </c>
    </row>
    <row r="301" spans="1:6" x14ac:dyDescent="0.25">
      <c r="A301" t="s">
        <v>3665</v>
      </c>
      <c r="C301" t="s">
        <v>2879</v>
      </c>
      <c r="F301" t="s">
        <v>539</v>
      </c>
    </row>
    <row r="302" spans="1:6" x14ac:dyDescent="0.25">
      <c r="A302" t="s">
        <v>21</v>
      </c>
      <c r="C302" t="s">
        <v>2880</v>
      </c>
      <c r="F302" t="s">
        <v>540</v>
      </c>
    </row>
    <row r="303" spans="1:6" x14ac:dyDescent="0.25">
      <c r="A303" t="s">
        <v>3666</v>
      </c>
      <c r="C303" t="s">
        <v>2881</v>
      </c>
      <c r="F303" t="s">
        <v>541</v>
      </c>
    </row>
    <row r="304" spans="1:6" x14ac:dyDescent="0.25">
      <c r="A304" t="s">
        <v>3667</v>
      </c>
      <c r="C304" t="s">
        <v>2882</v>
      </c>
      <c r="F304" t="s">
        <v>542</v>
      </c>
    </row>
    <row r="305" spans="1:6" x14ac:dyDescent="0.25">
      <c r="A305" t="s">
        <v>3668</v>
      </c>
      <c r="C305" t="s">
        <v>2883</v>
      </c>
      <c r="F305" t="s">
        <v>543</v>
      </c>
    </row>
    <row r="306" spans="1:6" x14ac:dyDescent="0.25">
      <c r="A306" t="s">
        <v>3669</v>
      </c>
      <c r="C306" t="s">
        <v>2884</v>
      </c>
      <c r="F306" t="s">
        <v>544</v>
      </c>
    </row>
    <row r="307" spans="1:6" x14ac:dyDescent="0.25">
      <c r="A307" t="s">
        <v>2207</v>
      </c>
      <c r="C307" t="s">
        <v>2885</v>
      </c>
      <c r="F307" t="s">
        <v>545</v>
      </c>
    </row>
    <row r="308" spans="1:6" x14ac:dyDescent="0.25">
      <c r="A308" t="s">
        <v>3670</v>
      </c>
      <c r="C308" t="s">
        <v>2886</v>
      </c>
      <c r="F308" t="s">
        <v>546</v>
      </c>
    </row>
    <row r="309" spans="1:6" x14ac:dyDescent="0.25">
      <c r="A309" t="s">
        <v>834</v>
      </c>
      <c r="C309" t="s">
        <v>2887</v>
      </c>
      <c r="F309" t="s">
        <v>547</v>
      </c>
    </row>
    <row r="310" spans="1:6" x14ac:dyDescent="0.25">
      <c r="A310" t="s">
        <v>2050</v>
      </c>
      <c r="C310" t="s">
        <v>2888</v>
      </c>
      <c r="F310" t="s">
        <v>548</v>
      </c>
    </row>
    <row r="311" spans="1:6" x14ac:dyDescent="0.25">
      <c r="A311" t="s">
        <v>3671</v>
      </c>
      <c r="C311" t="s">
        <v>1056</v>
      </c>
      <c r="F311" t="s">
        <v>549</v>
      </c>
    </row>
    <row r="312" spans="1:6" x14ac:dyDescent="0.25">
      <c r="A312" t="s">
        <v>3672</v>
      </c>
      <c r="C312" t="s">
        <v>2889</v>
      </c>
      <c r="F312" t="s">
        <v>550</v>
      </c>
    </row>
    <row r="313" spans="1:6" x14ac:dyDescent="0.25">
      <c r="A313" t="s">
        <v>241</v>
      </c>
      <c r="C313" t="s">
        <v>2890</v>
      </c>
      <c r="F313" t="s">
        <v>551</v>
      </c>
    </row>
    <row r="314" spans="1:6" x14ac:dyDescent="0.25">
      <c r="A314" t="s">
        <v>580</v>
      </c>
      <c r="C314" t="s">
        <v>2891</v>
      </c>
      <c r="F314" t="s">
        <v>552</v>
      </c>
    </row>
    <row r="315" spans="1:6" x14ac:dyDescent="0.25">
      <c r="A315" t="s">
        <v>2287</v>
      </c>
      <c r="C315" t="s">
        <v>2892</v>
      </c>
      <c r="F315" t="s">
        <v>553</v>
      </c>
    </row>
    <row r="316" spans="1:6" x14ac:dyDescent="0.25">
      <c r="A316" t="s">
        <v>3673</v>
      </c>
      <c r="C316" t="s">
        <v>2893</v>
      </c>
      <c r="F316" t="s">
        <v>554</v>
      </c>
    </row>
    <row r="317" spans="1:6" x14ac:dyDescent="0.25">
      <c r="A317" t="s">
        <v>2032</v>
      </c>
      <c r="C317" t="s">
        <v>2894</v>
      </c>
      <c r="F317" t="s">
        <v>555</v>
      </c>
    </row>
    <row r="318" spans="1:6" x14ac:dyDescent="0.25">
      <c r="A318" t="s">
        <v>3674</v>
      </c>
      <c r="C318" t="s">
        <v>2895</v>
      </c>
      <c r="F318" t="s">
        <v>556</v>
      </c>
    </row>
    <row r="319" spans="1:6" x14ac:dyDescent="0.25">
      <c r="A319" t="s">
        <v>1729</v>
      </c>
      <c r="C319" t="s">
        <v>2896</v>
      </c>
      <c r="F319" t="s">
        <v>557</v>
      </c>
    </row>
    <row r="320" spans="1:6" x14ac:dyDescent="0.25">
      <c r="A320" t="s">
        <v>3675</v>
      </c>
      <c r="C320" t="s">
        <v>2897</v>
      </c>
      <c r="F320" t="s">
        <v>558</v>
      </c>
    </row>
    <row r="321" spans="1:6" x14ac:dyDescent="0.25">
      <c r="A321" t="s">
        <v>3676</v>
      </c>
      <c r="C321" t="s">
        <v>2898</v>
      </c>
      <c r="F321" t="s">
        <v>559</v>
      </c>
    </row>
    <row r="322" spans="1:6" x14ac:dyDescent="0.25">
      <c r="A322" t="s">
        <v>431</v>
      </c>
      <c r="C322" t="s">
        <v>2899</v>
      </c>
      <c r="F322" t="s">
        <v>560</v>
      </c>
    </row>
    <row r="323" spans="1:6" x14ac:dyDescent="0.25">
      <c r="A323" t="s">
        <v>3677</v>
      </c>
      <c r="C323" t="s">
        <v>2900</v>
      </c>
      <c r="F323" t="s">
        <v>561</v>
      </c>
    </row>
    <row r="324" spans="1:6" x14ac:dyDescent="0.25">
      <c r="A324" t="s">
        <v>1021</v>
      </c>
      <c r="C324" t="s">
        <v>2901</v>
      </c>
      <c r="F324" t="s">
        <v>562</v>
      </c>
    </row>
    <row r="325" spans="1:6" x14ac:dyDescent="0.25">
      <c r="A325" t="s">
        <v>3678</v>
      </c>
      <c r="C325" t="s">
        <v>2902</v>
      </c>
      <c r="F325" t="s">
        <v>563</v>
      </c>
    </row>
    <row r="326" spans="1:6" x14ac:dyDescent="0.25">
      <c r="A326" t="s">
        <v>3679</v>
      </c>
      <c r="C326" t="s">
        <v>2903</v>
      </c>
      <c r="F326" t="s">
        <v>564</v>
      </c>
    </row>
    <row r="327" spans="1:6" x14ac:dyDescent="0.25">
      <c r="A327" t="s">
        <v>1137</v>
      </c>
      <c r="C327" t="s">
        <v>2904</v>
      </c>
      <c r="F327" t="s">
        <v>565</v>
      </c>
    </row>
    <row r="328" spans="1:6" x14ac:dyDescent="0.25">
      <c r="A328" t="s">
        <v>3680</v>
      </c>
      <c r="C328" t="s">
        <v>2905</v>
      </c>
      <c r="F328" t="s">
        <v>566</v>
      </c>
    </row>
    <row r="329" spans="1:6" x14ac:dyDescent="0.25">
      <c r="A329" t="s">
        <v>170</v>
      </c>
      <c r="C329" t="s">
        <v>2906</v>
      </c>
      <c r="F329" t="s">
        <v>567</v>
      </c>
    </row>
    <row r="330" spans="1:6" x14ac:dyDescent="0.25">
      <c r="A330" t="s">
        <v>2117</v>
      </c>
      <c r="C330" t="s">
        <v>2907</v>
      </c>
      <c r="F330" t="s">
        <v>568</v>
      </c>
    </row>
    <row r="331" spans="1:6" x14ac:dyDescent="0.25">
      <c r="A331" t="s">
        <v>2570</v>
      </c>
      <c r="C331" t="s">
        <v>2908</v>
      </c>
      <c r="F331" t="s">
        <v>569</v>
      </c>
    </row>
    <row r="332" spans="1:6" x14ac:dyDescent="0.25">
      <c r="A332" t="s">
        <v>3681</v>
      </c>
      <c r="C332" t="s">
        <v>2909</v>
      </c>
      <c r="F332" t="s">
        <v>570</v>
      </c>
    </row>
    <row r="333" spans="1:6" x14ac:dyDescent="0.25">
      <c r="A333" t="s">
        <v>3682</v>
      </c>
      <c r="C333" t="s">
        <v>2910</v>
      </c>
      <c r="F333" t="s">
        <v>571</v>
      </c>
    </row>
    <row r="334" spans="1:6" x14ac:dyDescent="0.25">
      <c r="A334" t="s">
        <v>143</v>
      </c>
      <c r="C334" t="s">
        <v>2911</v>
      </c>
      <c r="F334" t="s">
        <v>572</v>
      </c>
    </row>
    <row r="335" spans="1:6" x14ac:dyDescent="0.25">
      <c r="A335" t="s">
        <v>3683</v>
      </c>
      <c r="C335" t="s">
        <v>2912</v>
      </c>
      <c r="F335" t="s">
        <v>573</v>
      </c>
    </row>
    <row r="336" spans="1:6" x14ac:dyDescent="0.25">
      <c r="A336" t="s">
        <v>3684</v>
      </c>
      <c r="C336" t="s">
        <v>2913</v>
      </c>
      <c r="F336" t="s">
        <v>574</v>
      </c>
    </row>
    <row r="337" spans="1:6" x14ac:dyDescent="0.25">
      <c r="A337" t="s">
        <v>3685</v>
      </c>
      <c r="C337" t="s">
        <v>2914</v>
      </c>
      <c r="F337" t="s">
        <v>575</v>
      </c>
    </row>
    <row r="338" spans="1:6" x14ac:dyDescent="0.25">
      <c r="A338" t="s">
        <v>3686</v>
      </c>
      <c r="C338" t="s">
        <v>2915</v>
      </c>
      <c r="F338" t="s">
        <v>576</v>
      </c>
    </row>
    <row r="339" spans="1:6" x14ac:dyDescent="0.25">
      <c r="A339" t="s">
        <v>3687</v>
      </c>
      <c r="C339" t="s">
        <v>893</v>
      </c>
      <c r="F339" t="s">
        <v>577</v>
      </c>
    </row>
    <row r="340" spans="1:6" x14ac:dyDescent="0.25">
      <c r="A340" t="s">
        <v>3688</v>
      </c>
      <c r="C340" t="s">
        <v>2916</v>
      </c>
      <c r="F340" t="s">
        <v>578</v>
      </c>
    </row>
    <row r="341" spans="1:6" x14ac:dyDescent="0.25">
      <c r="A341" t="s">
        <v>3689</v>
      </c>
      <c r="C341" t="s">
        <v>2917</v>
      </c>
      <c r="F341" t="s">
        <v>579</v>
      </c>
    </row>
    <row r="342" spans="1:6" x14ac:dyDescent="0.25">
      <c r="A342" t="s">
        <v>3690</v>
      </c>
      <c r="C342" t="s">
        <v>2918</v>
      </c>
      <c r="F342" t="s">
        <v>580</v>
      </c>
    </row>
    <row r="343" spans="1:6" x14ac:dyDescent="0.25">
      <c r="A343" t="s">
        <v>73</v>
      </c>
      <c r="C343" t="s">
        <v>986</v>
      </c>
      <c r="F343" t="s">
        <v>581</v>
      </c>
    </row>
    <row r="344" spans="1:6" x14ac:dyDescent="0.25">
      <c r="A344" t="s">
        <v>3691</v>
      </c>
      <c r="C344" t="s">
        <v>2919</v>
      </c>
      <c r="F344" t="s">
        <v>582</v>
      </c>
    </row>
    <row r="345" spans="1:6" x14ac:dyDescent="0.25">
      <c r="A345" t="s">
        <v>2178</v>
      </c>
      <c r="C345" t="s">
        <v>2920</v>
      </c>
      <c r="F345" t="s">
        <v>583</v>
      </c>
    </row>
    <row r="346" spans="1:6" x14ac:dyDescent="0.25">
      <c r="A346" t="s">
        <v>1550</v>
      </c>
      <c r="C346" t="s">
        <v>2921</v>
      </c>
      <c r="F346" t="s">
        <v>584</v>
      </c>
    </row>
    <row r="347" spans="1:6" x14ac:dyDescent="0.25">
      <c r="A347" t="s">
        <v>153</v>
      </c>
      <c r="C347" t="s">
        <v>2922</v>
      </c>
      <c r="F347" t="s">
        <v>585</v>
      </c>
    </row>
    <row r="348" spans="1:6" x14ac:dyDescent="0.25">
      <c r="A348" t="s">
        <v>3692</v>
      </c>
      <c r="C348" t="s">
        <v>2923</v>
      </c>
      <c r="F348" t="s">
        <v>586</v>
      </c>
    </row>
    <row r="349" spans="1:6" x14ac:dyDescent="0.25">
      <c r="A349" t="s">
        <v>3693</v>
      </c>
      <c r="C349" t="s">
        <v>2924</v>
      </c>
      <c r="F349" t="s">
        <v>19</v>
      </c>
    </row>
    <row r="350" spans="1:6" x14ac:dyDescent="0.25">
      <c r="A350" t="s">
        <v>3694</v>
      </c>
      <c r="C350" t="s">
        <v>2925</v>
      </c>
      <c r="F350" t="s">
        <v>587</v>
      </c>
    </row>
    <row r="351" spans="1:6" x14ac:dyDescent="0.25">
      <c r="A351" t="s">
        <v>11</v>
      </c>
      <c r="C351" t="s">
        <v>2926</v>
      </c>
      <c r="F351" t="s">
        <v>588</v>
      </c>
    </row>
    <row r="352" spans="1:6" x14ac:dyDescent="0.25">
      <c r="A352" t="s">
        <v>3695</v>
      </c>
      <c r="C352" t="s">
        <v>2927</v>
      </c>
      <c r="F352" t="s">
        <v>589</v>
      </c>
    </row>
    <row r="353" spans="1:6" x14ac:dyDescent="0.25">
      <c r="A353" t="s">
        <v>944</v>
      </c>
      <c r="C353" t="s">
        <v>2928</v>
      </c>
      <c r="F353" t="s">
        <v>590</v>
      </c>
    </row>
    <row r="354" spans="1:6" x14ac:dyDescent="0.25">
      <c r="A354" t="s">
        <v>3696</v>
      </c>
      <c r="C354" t="s">
        <v>2929</v>
      </c>
      <c r="F354" t="s">
        <v>591</v>
      </c>
    </row>
    <row r="355" spans="1:6" x14ac:dyDescent="0.25">
      <c r="A355" t="s">
        <v>3697</v>
      </c>
      <c r="C355" t="s">
        <v>2930</v>
      </c>
      <c r="F355" t="s">
        <v>592</v>
      </c>
    </row>
    <row r="356" spans="1:6" x14ac:dyDescent="0.25">
      <c r="A356" t="s">
        <v>3698</v>
      </c>
      <c r="C356" t="s">
        <v>2931</v>
      </c>
      <c r="F356" t="s">
        <v>593</v>
      </c>
    </row>
    <row r="357" spans="1:6" x14ac:dyDescent="0.25">
      <c r="A357" t="s">
        <v>3699</v>
      </c>
      <c r="C357" t="s">
        <v>2932</v>
      </c>
      <c r="F357" t="s">
        <v>594</v>
      </c>
    </row>
    <row r="358" spans="1:6" x14ac:dyDescent="0.25">
      <c r="A358" t="s">
        <v>3700</v>
      </c>
      <c r="C358" t="s">
        <v>2933</v>
      </c>
      <c r="F358" t="s">
        <v>595</v>
      </c>
    </row>
    <row r="359" spans="1:6" x14ac:dyDescent="0.25">
      <c r="A359" t="s">
        <v>3701</v>
      </c>
      <c r="C359" t="s">
        <v>2934</v>
      </c>
      <c r="F359" t="s">
        <v>596</v>
      </c>
    </row>
    <row r="360" spans="1:6" x14ac:dyDescent="0.25">
      <c r="A360" t="s">
        <v>1609</v>
      </c>
      <c r="C360" t="s">
        <v>2935</v>
      </c>
      <c r="F360" t="s">
        <v>597</v>
      </c>
    </row>
    <row r="361" spans="1:6" x14ac:dyDescent="0.25">
      <c r="A361" t="s">
        <v>3702</v>
      </c>
      <c r="C361" t="s">
        <v>2936</v>
      </c>
      <c r="F361" t="s">
        <v>598</v>
      </c>
    </row>
    <row r="362" spans="1:6" x14ac:dyDescent="0.25">
      <c r="A362" t="s">
        <v>3703</v>
      </c>
      <c r="C362" t="s">
        <v>2937</v>
      </c>
      <c r="F362" t="s">
        <v>599</v>
      </c>
    </row>
    <row r="363" spans="1:6" x14ac:dyDescent="0.25">
      <c r="A363" t="s">
        <v>3704</v>
      </c>
      <c r="C363" t="s">
        <v>2938</v>
      </c>
      <c r="F363" t="s">
        <v>600</v>
      </c>
    </row>
    <row r="364" spans="1:6" x14ac:dyDescent="0.25">
      <c r="A364" t="s">
        <v>57</v>
      </c>
      <c r="C364" t="s">
        <v>1086</v>
      </c>
      <c r="F364" t="s">
        <v>601</v>
      </c>
    </row>
    <row r="365" spans="1:6" x14ac:dyDescent="0.25">
      <c r="A365" t="s">
        <v>2218</v>
      </c>
      <c r="C365" t="s">
        <v>2939</v>
      </c>
      <c r="F365" t="s">
        <v>602</v>
      </c>
    </row>
    <row r="366" spans="1:6" x14ac:dyDescent="0.25">
      <c r="A366" t="s">
        <v>3705</v>
      </c>
      <c r="C366" t="s">
        <v>2940</v>
      </c>
      <c r="F366" t="s">
        <v>603</v>
      </c>
    </row>
    <row r="367" spans="1:6" x14ac:dyDescent="0.25">
      <c r="A367" t="s">
        <v>3706</v>
      </c>
      <c r="C367" t="s">
        <v>2941</v>
      </c>
      <c r="F367" t="s">
        <v>604</v>
      </c>
    </row>
    <row r="368" spans="1:6" x14ac:dyDescent="0.25">
      <c r="A368" t="s">
        <v>1414</v>
      </c>
      <c r="C368" t="s">
        <v>2942</v>
      </c>
      <c r="F368" t="s">
        <v>605</v>
      </c>
    </row>
    <row r="369" spans="1:6" x14ac:dyDescent="0.25">
      <c r="A369" t="s">
        <v>1420</v>
      </c>
      <c r="C369" t="s">
        <v>2943</v>
      </c>
      <c r="F369" t="s">
        <v>606</v>
      </c>
    </row>
    <row r="370" spans="1:6" x14ac:dyDescent="0.25">
      <c r="A370" t="s">
        <v>1454</v>
      </c>
      <c r="C370" t="s">
        <v>2944</v>
      </c>
      <c r="F370" t="s">
        <v>607</v>
      </c>
    </row>
    <row r="371" spans="1:6" x14ac:dyDescent="0.25">
      <c r="A371" t="s">
        <v>3707</v>
      </c>
      <c r="C371" t="s">
        <v>2945</v>
      </c>
      <c r="F371" t="s">
        <v>608</v>
      </c>
    </row>
    <row r="372" spans="1:6" x14ac:dyDescent="0.25">
      <c r="A372" t="s">
        <v>280</v>
      </c>
      <c r="C372" t="s">
        <v>2946</v>
      </c>
      <c r="F372" t="s">
        <v>609</v>
      </c>
    </row>
    <row r="373" spans="1:6" x14ac:dyDescent="0.25">
      <c r="A373" t="s">
        <v>3708</v>
      </c>
      <c r="C373" t="s">
        <v>2947</v>
      </c>
      <c r="F373" t="s">
        <v>610</v>
      </c>
    </row>
    <row r="374" spans="1:6" x14ac:dyDescent="0.25">
      <c r="A374" t="s">
        <v>3709</v>
      </c>
      <c r="C374" t="s">
        <v>2948</v>
      </c>
      <c r="F374" t="s">
        <v>611</v>
      </c>
    </row>
    <row r="375" spans="1:6" x14ac:dyDescent="0.25">
      <c r="A375" t="s">
        <v>3710</v>
      </c>
      <c r="C375" t="s">
        <v>2949</v>
      </c>
      <c r="F375" t="s">
        <v>612</v>
      </c>
    </row>
    <row r="376" spans="1:6" x14ac:dyDescent="0.25">
      <c r="A376" t="s">
        <v>1735</v>
      </c>
      <c r="C376" t="s">
        <v>2950</v>
      </c>
      <c r="F376" t="s">
        <v>613</v>
      </c>
    </row>
    <row r="377" spans="1:6" x14ac:dyDescent="0.25">
      <c r="A377" t="s">
        <v>2729</v>
      </c>
      <c r="C377" t="s">
        <v>2951</v>
      </c>
      <c r="F377" t="s">
        <v>614</v>
      </c>
    </row>
    <row r="378" spans="1:6" x14ac:dyDescent="0.25">
      <c r="A378" t="s">
        <v>3711</v>
      </c>
      <c r="C378" t="s">
        <v>2952</v>
      </c>
      <c r="F378" t="s">
        <v>615</v>
      </c>
    </row>
    <row r="379" spans="1:6" x14ac:dyDescent="0.25">
      <c r="A379" t="s">
        <v>2567</v>
      </c>
      <c r="C379" t="s">
        <v>2953</v>
      </c>
      <c r="F379" t="s">
        <v>616</v>
      </c>
    </row>
    <row r="380" spans="1:6" x14ac:dyDescent="0.25">
      <c r="A380" t="s">
        <v>3712</v>
      </c>
      <c r="C380" t="s">
        <v>2954</v>
      </c>
      <c r="F380" t="s">
        <v>150</v>
      </c>
    </row>
    <row r="381" spans="1:6" x14ac:dyDescent="0.25">
      <c r="A381" t="s">
        <v>1365</v>
      </c>
      <c r="C381" t="s">
        <v>2955</v>
      </c>
      <c r="F381" t="s">
        <v>617</v>
      </c>
    </row>
    <row r="382" spans="1:6" x14ac:dyDescent="0.25">
      <c r="A382" t="s">
        <v>3713</v>
      </c>
      <c r="C382" t="s">
        <v>2956</v>
      </c>
      <c r="F382" t="s">
        <v>618</v>
      </c>
    </row>
    <row r="383" spans="1:6" x14ac:dyDescent="0.25">
      <c r="A383" t="s">
        <v>3714</v>
      </c>
      <c r="C383" t="s">
        <v>2957</v>
      </c>
      <c r="F383" t="s">
        <v>619</v>
      </c>
    </row>
    <row r="384" spans="1:6" x14ac:dyDescent="0.25">
      <c r="A384" t="s">
        <v>3715</v>
      </c>
      <c r="C384" t="s">
        <v>2958</v>
      </c>
      <c r="F384" t="s">
        <v>620</v>
      </c>
    </row>
    <row r="385" spans="1:6" x14ac:dyDescent="0.25">
      <c r="A385" t="s">
        <v>3716</v>
      </c>
      <c r="C385" t="s">
        <v>2959</v>
      </c>
      <c r="F385" t="s">
        <v>621</v>
      </c>
    </row>
    <row r="386" spans="1:6" x14ac:dyDescent="0.25">
      <c r="A386" t="s">
        <v>3717</v>
      </c>
      <c r="C386" t="s">
        <v>2960</v>
      </c>
      <c r="F386" t="s">
        <v>622</v>
      </c>
    </row>
    <row r="387" spans="1:6" x14ac:dyDescent="0.25">
      <c r="A387" t="s">
        <v>3718</v>
      </c>
      <c r="C387" t="s">
        <v>2961</v>
      </c>
      <c r="F387" t="s">
        <v>623</v>
      </c>
    </row>
    <row r="388" spans="1:6" x14ac:dyDescent="0.25">
      <c r="A388" t="s">
        <v>3719</v>
      </c>
      <c r="C388" t="s">
        <v>2962</v>
      </c>
      <c r="F388" t="s">
        <v>624</v>
      </c>
    </row>
    <row r="389" spans="1:6" x14ac:dyDescent="0.25">
      <c r="A389" t="s">
        <v>3720</v>
      </c>
      <c r="C389" t="s">
        <v>2963</v>
      </c>
      <c r="F389" t="s">
        <v>625</v>
      </c>
    </row>
    <row r="390" spans="1:6" x14ac:dyDescent="0.25">
      <c r="A390" t="s">
        <v>3721</v>
      </c>
      <c r="C390" t="s">
        <v>2964</v>
      </c>
      <c r="F390" t="s">
        <v>626</v>
      </c>
    </row>
    <row r="391" spans="1:6" x14ac:dyDescent="0.25">
      <c r="A391" t="s">
        <v>3722</v>
      </c>
      <c r="C391" t="s">
        <v>2965</v>
      </c>
      <c r="F391" t="s">
        <v>627</v>
      </c>
    </row>
    <row r="392" spans="1:6" x14ac:dyDescent="0.25">
      <c r="A392" t="s">
        <v>3723</v>
      </c>
      <c r="C392" t="s">
        <v>2966</v>
      </c>
      <c r="F392" t="s">
        <v>628</v>
      </c>
    </row>
    <row r="393" spans="1:6" x14ac:dyDescent="0.25">
      <c r="A393" t="s">
        <v>2027</v>
      </c>
      <c r="C393" t="s">
        <v>1846</v>
      </c>
      <c r="F393" t="s">
        <v>629</v>
      </c>
    </row>
    <row r="394" spans="1:6" x14ac:dyDescent="0.25">
      <c r="A394" t="s">
        <v>3724</v>
      </c>
      <c r="C394" t="s">
        <v>2967</v>
      </c>
      <c r="F394" t="s">
        <v>630</v>
      </c>
    </row>
    <row r="395" spans="1:6" x14ac:dyDescent="0.25">
      <c r="A395" t="s">
        <v>3725</v>
      </c>
      <c r="C395" t="s">
        <v>883</v>
      </c>
      <c r="F395" t="s">
        <v>631</v>
      </c>
    </row>
    <row r="396" spans="1:6" x14ac:dyDescent="0.25">
      <c r="A396" t="s">
        <v>649</v>
      </c>
      <c r="C396" t="s">
        <v>2968</v>
      </c>
      <c r="F396" t="s">
        <v>632</v>
      </c>
    </row>
    <row r="397" spans="1:6" x14ac:dyDescent="0.25">
      <c r="A397" t="s">
        <v>3726</v>
      </c>
      <c r="C397" t="s">
        <v>2969</v>
      </c>
      <c r="F397" t="s">
        <v>633</v>
      </c>
    </row>
    <row r="398" spans="1:6" x14ac:dyDescent="0.25">
      <c r="A398" t="s">
        <v>3727</v>
      </c>
      <c r="C398" t="s">
        <v>2970</v>
      </c>
      <c r="F398" t="s">
        <v>634</v>
      </c>
    </row>
    <row r="399" spans="1:6" x14ac:dyDescent="0.25">
      <c r="A399" t="s">
        <v>3728</v>
      </c>
      <c r="C399" t="s">
        <v>2971</v>
      </c>
      <c r="F399" t="s">
        <v>635</v>
      </c>
    </row>
    <row r="400" spans="1:6" x14ac:dyDescent="0.25">
      <c r="A400" t="s">
        <v>177</v>
      </c>
      <c r="C400" t="s">
        <v>2972</v>
      </c>
      <c r="F400" t="s">
        <v>636</v>
      </c>
    </row>
    <row r="401" spans="1:6" x14ac:dyDescent="0.25">
      <c r="A401" t="s">
        <v>1423</v>
      </c>
      <c r="C401" t="s">
        <v>2973</v>
      </c>
      <c r="F401" t="s">
        <v>637</v>
      </c>
    </row>
    <row r="402" spans="1:6" x14ac:dyDescent="0.25">
      <c r="A402" t="s">
        <v>3729</v>
      </c>
      <c r="C402" t="s">
        <v>2974</v>
      </c>
      <c r="F402" t="s">
        <v>638</v>
      </c>
    </row>
    <row r="403" spans="1:6" x14ac:dyDescent="0.25">
      <c r="A403" t="s">
        <v>2514</v>
      </c>
      <c r="C403" t="s">
        <v>2975</v>
      </c>
      <c r="F403" t="s">
        <v>639</v>
      </c>
    </row>
    <row r="404" spans="1:6" x14ac:dyDescent="0.25">
      <c r="A404" t="s">
        <v>26</v>
      </c>
      <c r="C404" t="s">
        <v>2976</v>
      </c>
      <c r="F404" t="s">
        <v>640</v>
      </c>
    </row>
    <row r="405" spans="1:6" x14ac:dyDescent="0.25">
      <c r="A405" t="s">
        <v>3730</v>
      </c>
      <c r="C405" t="s">
        <v>2977</v>
      </c>
      <c r="F405" t="s">
        <v>641</v>
      </c>
    </row>
    <row r="406" spans="1:6" x14ac:dyDescent="0.25">
      <c r="A406" t="s">
        <v>3731</v>
      </c>
      <c r="C406" t="s">
        <v>2978</v>
      </c>
      <c r="F406" t="s">
        <v>642</v>
      </c>
    </row>
    <row r="407" spans="1:6" x14ac:dyDescent="0.25">
      <c r="A407" t="s">
        <v>3732</v>
      </c>
      <c r="C407" t="s">
        <v>2979</v>
      </c>
      <c r="F407" t="s">
        <v>643</v>
      </c>
    </row>
    <row r="408" spans="1:6" x14ac:dyDescent="0.25">
      <c r="A408" t="s">
        <v>3733</v>
      </c>
      <c r="C408" t="s">
        <v>2980</v>
      </c>
      <c r="F408" t="s">
        <v>644</v>
      </c>
    </row>
    <row r="409" spans="1:6" x14ac:dyDescent="0.25">
      <c r="A409" t="s">
        <v>3734</v>
      </c>
      <c r="C409" t="s">
        <v>2981</v>
      </c>
      <c r="F409" t="s">
        <v>645</v>
      </c>
    </row>
    <row r="410" spans="1:6" x14ac:dyDescent="0.25">
      <c r="A410" t="s">
        <v>3735</v>
      </c>
      <c r="C410" t="s">
        <v>2982</v>
      </c>
      <c r="F410" t="s">
        <v>646</v>
      </c>
    </row>
    <row r="411" spans="1:6" x14ac:dyDescent="0.25">
      <c r="A411" t="s">
        <v>3736</v>
      </c>
      <c r="C411" t="s">
        <v>2983</v>
      </c>
      <c r="F411" t="s">
        <v>647</v>
      </c>
    </row>
    <row r="412" spans="1:6" x14ac:dyDescent="0.25">
      <c r="A412" t="s">
        <v>6</v>
      </c>
      <c r="C412" t="s">
        <v>2984</v>
      </c>
      <c r="F412" t="s">
        <v>648</v>
      </c>
    </row>
    <row r="413" spans="1:6" x14ac:dyDescent="0.25">
      <c r="A413" t="s">
        <v>3737</v>
      </c>
      <c r="C413" t="s">
        <v>2985</v>
      </c>
      <c r="F413" t="s">
        <v>649</v>
      </c>
    </row>
    <row r="414" spans="1:6" x14ac:dyDescent="0.25">
      <c r="A414" t="s">
        <v>3738</v>
      </c>
      <c r="C414" t="s">
        <v>2986</v>
      </c>
      <c r="F414" t="s">
        <v>650</v>
      </c>
    </row>
    <row r="415" spans="1:6" x14ac:dyDescent="0.25">
      <c r="A415" t="s">
        <v>3739</v>
      </c>
      <c r="C415" t="s">
        <v>2987</v>
      </c>
      <c r="F415" t="s">
        <v>651</v>
      </c>
    </row>
    <row r="416" spans="1:6" x14ac:dyDescent="0.25">
      <c r="A416" t="s">
        <v>1816</v>
      </c>
      <c r="C416" t="s">
        <v>2988</v>
      </c>
      <c r="F416" t="s">
        <v>652</v>
      </c>
    </row>
    <row r="417" spans="1:6" x14ac:dyDescent="0.25">
      <c r="A417" t="s">
        <v>363</v>
      </c>
      <c r="C417" t="s">
        <v>2989</v>
      </c>
      <c r="F417" t="s">
        <v>653</v>
      </c>
    </row>
    <row r="418" spans="1:6" x14ac:dyDescent="0.25">
      <c r="A418" t="s">
        <v>3740</v>
      </c>
      <c r="C418" t="s">
        <v>2990</v>
      </c>
      <c r="F418" t="s">
        <v>654</v>
      </c>
    </row>
    <row r="419" spans="1:6" x14ac:dyDescent="0.25">
      <c r="A419" t="s">
        <v>3741</v>
      </c>
      <c r="C419" t="s">
        <v>2991</v>
      </c>
      <c r="F419" t="s">
        <v>655</v>
      </c>
    </row>
    <row r="420" spans="1:6" x14ac:dyDescent="0.25">
      <c r="A420" t="s">
        <v>3742</v>
      </c>
      <c r="C420" t="s">
        <v>2992</v>
      </c>
      <c r="F420" t="s">
        <v>656</v>
      </c>
    </row>
    <row r="421" spans="1:6" x14ac:dyDescent="0.25">
      <c r="A421" t="s">
        <v>3743</v>
      </c>
      <c r="C421" t="s">
        <v>2993</v>
      </c>
      <c r="F421" t="s">
        <v>657</v>
      </c>
    </row>
    <row r="422" spans="1:6" x14ac:dyDescent="0.25">
      <c r="A422" t="s">
        <v>3744</v>
      </c>
      <c r="C422" t="s">
        <v>2994</v>
      </c>
      <c r="F422" t="s">
        <v>658</v>
      </c>
    </row>
    <row r="423" spans="1:6" x14ac:dyDescent="0.25">
      <c r="A423" t="s">
        <v>3745</v>
      </c>
      <c r="C423" t="s">
        <v>1035</v>
      </c>
      <c r="F423" t="s">
        <v>659</v>
      </c>
    </row>
    <row r="424" spans="1:6" x14ac:dyDescent="0.25">
      <c r="A424" t="s">
        <v>3746</v>
      </c>
      <c r="C424" t="s">
        <v>2995</v>
      </c>
      <c r="F424" t="s">
        <v>660</v>
      </c>
    </row>
    <row r="425" spans="1:6" x14ac:dyDescent="0.25">
      <c r="A425" t="s">
        <v>3747</v>
      </c>
      <c r="C425" t="s">
        <v>2996</v>
      </c>
      <c r="F425" t="s">
        <v>661</v>
      </c>
    </row>
    <row r="426" spans="1:6" x14ac:dyDescent="0.25">
      <c r="A426" t="s">
        <v>3748</v>
      </c>
      <c r="C426" t="s">
        <v>2997</v>
      </c>
      <c r="F426" t="s">
        <v>662</v>
      </c>
    </row>
    <row r="427" spans="1:6" x14ac:dyDescent="0.25">
      <c r="A427" t="s">
        <v>2431</v>
      </c>
      <c r="C427" t="s">
        <v>2998</v>
      </c>
      <c r="F427" t="s">
        <v>663</v>
      </c>
    </row>
    <row r="428" spans="1:6" x14ac:dyDescent="0.25">
      <c r="A428" t="s">
        <v>3749</v>
      </c>
      <c r="C428" t="s">
        <v>2999</v>
      </c>
      <c r="F428" t="s">
        <v>664</v>
      </c>
    </row>
    <row r="429" spans="1:6" x14ac:dyDescent="0.25">
      <c r="A429" t="s">
        <v>3750</v>
      </c>
      <c r="C429" t="s">
        <v>3000</v>
      </c>
      <c r="F429" t="s">
        <v>173</v>
      </c>
    </row>
    <row r="430" spans="1:6" x14ac:dyDescent="0.25">
      <c r="A430" t="s">
        <v>166</v>
      </c>
      <c r="C430" t="s">
        <v>3001</v>
      </c>
      <c r="F430" t="s">
        <v>665</v>
      </c>
    </row>
    <row r="431" spans="1:6" x14ac:dyDescent="0.25">
      <c r="A431" t="s">
        <v>3751</v>
      </c>
      <c r="C431" t="s">
        <v>3002</v>
      </c>
      <c r="F431" t="s">
        <v>666</v>
      </c>
    </row>
    <row r="432" spans="1:6" x14ac:dyDescent="0.25">
      <c r="A432" t="s">
        <v>3752</v>
      </c>
      <c r="C432" t="s">
        <v>3003</v>
      </c>
      <c r="F432" t="s">
        <v>667</v>
      </c>
    </row>
    <row r="433" spans="1:6" x14ac:dyDescent="0.25">
      <c r="A433" t="s">
        <v>202</v>
      </c>
      <c r="C433" t="s">
        <v>3004</v>
      </c>
      <c r="F433" t="s">
        <v>668</v>
      </c>
    </row>
    <row r="434" spans="1:6" x14ac:dyDescent="0.25">
      <c r="A434" t="s">
        <v>3753</v>
      </c>
      <c r="C434" t="s">
        <v>3005</v>
      </c>
      <c r="F434" t="s">
        <v>669</v>
      </c>
    </row>
    <row r="435" spans="1:6" x14ac:dyDescent="0.25">
      <c r="A435" t="s">
        <v>3754</v>
      </c>
      <c r="C435" t="s">
        <v>3006</v>
      </c>
      <c r="F435" t="s">
        <v>670</v>
      </c>
    </row>
    <row r="436" spans="1:6" x14ac:dyDescent="0.25">
      <c r="A436" t="s">
        <v>3755</v>
      </c>
      <c r="C436" t="s">
        <v>3007</v>
      </c>
      <c r="F436" t="s">
        <v>671</v>
      </c>
    </row>
    <row r="437" spans="1:6" x14ac:dyDescent="0.25">
      <c r="A437" t="s">
        <v>1734</v>
      </c>
      <c r="C437" t="s">
        <v>3008</v>
      </c>
      <c r="F437" t="s">
        <v>672</v>
      </c>
    </row>
    <row r="438" spans="1:6" x14ac:dyDescent="0.25">
      <c r="A438" t="s">
        <v>3756</v>
      </c>
      <c r="C438" t="s">
        <v>3009</v>
      </c>
      <c r="F438" t="s">
        <v>673</v>
      </c>
    </row>
    <row r="439" spans="1:6" x14ac:dyDescent="0.25">
      <c r="A439" t="s">
        <v>3757</v>
      </c>
      <c r="C439" t="s">
        <v>3010</v>
      </c>
      <c r="F439" t="s">
        <v>674</v>
      </c>
    </row>
    <row r="440" spans="1:6" x14ac:dyDescent="0.25">
      <c r="A440" t="s">
        <v>3758</v>
      </c>
      <c r="C440" t="s">
        <v>3011</v>
      </c>
      <c r="F440" t="s">
        <v>675</v>
      </c>
    </row>
    <row r="441" spans="1:6" x14ac:dyDescent="0.25">
      <c r="A441" t="s">
        <v>3759</v>
      </c>
      <c r="C441" t="s">
        <v>3012</v>
      </c>
      <c r="F441" t="s">
        <v>676</v>
      </c>
    </row>
    <row r="442" spans="1:6" x14ac:dyDescent="0.25">
      <c r="A442" t="s">
        <v>3760</v>
      </c>
      <c r="C442" t="s">
        <v>3013</v>
      </c>
      <c r="F442" t="s">
        <v>677</v>
      </c>
    </row>
    <row r="443" spans="1:6" x14ac:dyDescent="0.25">
      <c r="A443" t="s">
        <v>3761</v>
      </c>
      <c r="C443" t="s">
        <v>3014</v>
      </c>
      <c r="F443" t="s">
        <v>678</v>
      </c>
    </row>
    <row r="444" spans="1:6" x14ac:dyDescent="0.25">
      <c r="A444" t="s">
        <v>3762</v>
      </c>
      <c r="C444" t="s">
        <v>3015</v>
      </c>
      <c r="F444" t="s">
        <v>679</v>
      </c>
    </row>
    <row r="445" spans="1:6" x14ac:dyDescent="0.25">
      <c r="A445" t="s">
        <v>3763</v>
      </c>
      <c r="C445" t="s">
        <v>3016</v>
      </c>
      <c r="F445" t="s">
        <v>680</v>
      </c>
    </row>
    <row r="446" spans="1:6" x14ac:dyDescent="0.25">
      <c r="A446" t="s">
        <v>140</v>
      </c>
      <c r="C446" t="s">
        <v>3017</v>
      </c>
      <c r="F446" t="s">
        <v>681</v>
      </c>
    </row>
    <row r="447" spans="1:6" x14ac:dyDescent="0.25">
      <c r="A447" t="s">
        <v>3764</v>
      </c>
      <c r="C447" t="s">
        <v>3018</v>
      </c>
      <c r="F447" t="s">
        <v>682</v>
      </c>
    </row>
    <row r="448" spans="1:6" x14ac:dyDescent="0.25">
      <c r="A448" t="s">
        <v>3765</v>
      </c>
      <c r="C448" t="s">
        <v>3019</v>
      </c>
      <c r="F448" t="s">
        <v>683</v>
      </c>
    </row>
    <row r="449" spans="1:6" x14ac:dyDescent="0.25">
      <c r="A449" t="s">
        <v>1769</v>
      </c>
      <c r="C449" t="s">
        <v>3020</v>
      </c>
      <c r="F449" t="s">
        <v>684</v>
      </c>
    </row>
    <row r="450" spans="1:6" x14ac:dyDescent="0.25">
      <c r="A450" t="s">
        <v>3766</v>
      </c>
      <c r="C450" t="s">
        <v>3021</v>
      </c>
      <c r="F450" t="s">
        <v>685</v>
      </c>
    </row>
    <row r="451" spans="1:6" x14ac:dyDescent="0.25">
      <c r="A451" t="s">
        <v>2568</v>
      </c>
      <c r="C451" t="s">
        <v>3022</v>
      </c>
      <c r="F451" t="s">
        <v>686</v>
      </c>
    </row>
    <row r="452" spans="1:6" x14ac:dyDescent="0.25">
      <c r="A452" t="s">
        <v>3767</v>
      </c>
      <c r="C452" t="s">
        <v>3023</v>
      </c>
      <c r="F452" t="s">
        <v>687</v>
      </c>
    </row>
    <row r="453" spans="1:6" x14ac:dyDescent="0.25">
      <c r="A453" t="s">
        <v>3768</v>
      </c>
      <c r="C453" t="s">
        <v>3024</v>
      </c>
      <c r="F453" t="s">
        <v>688</v>
      </c>
    </row>
    <row r="454" spans="1:6" x14ac:dyDescent="0.25">
      <c r="A454" t="s">
        <v>3769</v>
      </c>
      <c r="C454" t="s">
        <v>3025</v>
      </c>
      <c r="F454" t="s">
        <v>689</v>
      </c>
    </row>
    <row r="455" spans="1:6" x14ac:dyDescent="0.25">
      <c r="A455" t="s">
        <v>3770</v>
      </c>
      <c r="C455" t="s">
        <v>3026</v>
      </c>
      <c r="F455" t="s">
        <v>690</v>
      </c>
    </row>
    <row r="456" spans="1:6" x14ac:dyDescent="0.25">
      <c r="A456" t="s">
        <v>3771</v>
      </c>
      <c r="C456" t="s">
        <v>3027</v>
      </c>
      <c r="F456" t="s">
        <v>691</v>
      </c>
    </row>
    <row r="457" spans="1:6" x14ac:dyDescent="0.25">
      <c r="A457" t="s">
        <v>3772</v>
      </c>
      <c r="C457" t="s">
        <v>3028</v>
      </c>
      <c r="F457" t="s">
        <v>692</v>
      </c>
    </row>
    <row r="458" spans="1:6" x14ac:dyDescent="0.25">
      <c r="A458" t="s">
        <v>223</v>
      </c>
      <c r="C458" t="s">
        <v>3029</v>
      </c>
      <c r="F458" t="s">
        <v>693</v>
      </c>
    </row>
    <row r="459" spans="1:6" x14ac:dyDescent="0.25">
      <c r="A459" t="s">
        <v>1119</v>
      </c>
      <c r="C459" t="s">
        <v>3030</v>
      </c>
      <c r="F459" t="s">
        <v>694</v>
      </c>
    </row>
    <row r="460" spans="1:6" x14ac:dyDescent="0.25">
      <c r="A460" t="s">
        <v>3773</v>
      </c>
      <c r="C460" t="s">
        <v>3031</v>
      </c>
      <c r="F460" t="s">
        <v>695</v>
      </c>
    </row>
    <row r="461" spans="1:6" x14ac:dyDescent="0.25">
      <c r="A461" t="s">
        <v>2541</v>
      </c>
      <c r="C461" t="s">
        <v>3032</v>
      </c>
      <c r="F461" t="s">
        <v>696</v>
      </c>
    </row>
    <row r="462" spans="1:6" x14ac:dyDescent="0.25">
      <c r="A462" t="s">
        <v>3774</v>
      </c>
      <c r="C462" t="s">
        <v>3033</v>
      </c>
      <c r="F462" t="s">
        <v>697</v>
      </c>
    </row>
    <row r="463" spans="1:6" x14ac:dyDescent="0.25">
      <c r="A463" t="s">
        <v>3775</v>
      </c>
      <c r="C463" t="s">
        <v>3034</v>
      </c>
      <c r="F463" t="s">
        <v>698</v>
      </c>
    </row>
    <row r="464" spans="1:6" x14ac:dyDescent="0.25">
      <c r="A464" t="s">
        <v>3776</v>
      </c>
      <c r="C464" t="s">
        <v>3035</v>
      </c>
      <c r="F464" t="s">
        <v>699</v>
      </c>
    </row>
    <row r="465" spans="1:6" x14ac:dyDescent="0.25">
      <c r="A465" t="s">
        <v>3777</v>
      </c>
      <c r="C465" t="s">
        <v>3036</v>
      </c>
      <c r="F465" t="s">
        <v>700</v>
      </c>
    </row>
    <row r="466" spans="1:6" x14ac:dyDescent="0.25">
      <c r="A466" t="s">
        <v>3778</v>
      </c>
      <c r="C466" t="s">
        <v>3037</v>
      </c>
      <c r="F466" t="s">
        <v>701</v>
      </c>
    </row>
    <row r="467" spans="1:6" x14ac:dyDescent="0.25">
      <c r="A467" t="s">
        <v>3779</v>
      </c>
      <c r="C467" t="s">
        <v>3038</v>
      </c>
      <c r="F467" t="s">
        <v>702</v>
      </c>
    </row>
    <row r="468" spans="1:6" x14ac:dyDescent="0.25">
      <c r="A468" t="s">
        <v>116</v>
      </c>
      <c r="C468" t="s">
        <v>3039</v>
      </c>
      <c r="F468" t="s">
        <v>703</v>
      </c>
    </row>
    <row r="469" spans="1:6" x14ac:dyDescent="0.25">
      <c r="A469" t="s">
        <v>3780</v>
      </c>
      <c r="C469" t="s">
        <v>3040</v>
      </c>
      <c r="F469" t="s">
        <v>704</v>
      </c>
    </row>
    <row r="470" spans="1:6" x14ac:dyDescent="0.25">
      <c r="A470" t="s">
        <v>3781</v>
      </c>
      <c r="C470" t="s">
        <v>3041</v>
      </c>
      <c r="F470" t="s">
        <v>705</v>
      </c>
    </row>
    <row r="471" spans="1:6" x14ac:dyDescent="0.25">
      <c r="A471" t="s">
        <v>3782</v>
      </c>
      <c r="C471" t="s">
        <v>3042</v>
      </c>
      <c r="F471" t="s">
        <v>706</v>
      </c>
    </row>
    <row r="472" spans="1:6" x14ac:dyDescent="0.25">
      <c r="A472" t="s">
        <v>3783</v>
      </c>
      <c r="C472" t="s">
        <v>1604</v>
      </c>
      <c r="F472" t="s">
        <v>707</v>
      </c>
    </row>
    <row r="473" spans="1:6" x14ac:dyDescent="0.25">
      <c r="A473" t="s">
        <v>78</v>
      </c>
      <c r="C473" t="s">
        <v>3043</v>
      </c>
      <c r="F473" t="s">
        <v>708</v>
      </c>
    </row>
    <row r="474" spans="1:6" x14ac:dyDescent="0.25">
      <c r="A474" t="s">
        <v>1339</v>
      </c>
      <c r="C474" t="s">
        <v>3044</v>
      </c>
      <c r="F474" t="s">
        <v>709</v>
      </c>
    </row>
    <row r="475" spans="1:6" x14ac:dyDescent="0.25">
      <c r="A475" t="s">
        <v>3784</v>
      </c>
      <c r="C475" t="s">
        <v>3045</v>
      </c>
      <c r="F475" t="s">
        <v>710</v>
      </c>
    </row>
    <row r="476" spans="1:6" x14ac:dyDescent="0.25">
      <c r="A476" t="s">
        <v>3785</v>
      </c>
      <c r="C476" t="s">
        <v>3046</v>
      </c>
      <c r="F476" t="s">
        <v>711</v>
      </c>
    </row>
    <row r="477" spans="1:6" x14ac:dyDescent="0.25">
      <c r="A477" t="s">
        <v>1619</v>
      </c>
      <c r="C477" t="s">
        <v>3047</v>
      </c>
      <c r="F477" t="s">
        <v>712</v>
      </c>
    </row>
    <row r="478" spans="1:6" x14ac:dyDescent="0.25">
      <c r="A478" t="s">
        <v>3786</v>
      </c>
      <c r="C478" t="s">
        <v>3048</v>
      </c>
      <c r="F478" t="s">
        <v>713</v>
      </c>
    </row>
    <row r="479" spans="1:6" x14ac:dyDescent="0.25">
      <c r="A479" t="s">
        <v>3787</v>
      </c>
      <c r="C479" t="s">
        <v>3049</v>
      </c>
      <c r="F479" t="s">
        <v>714</v>
      </c>
    </row>
    <row r="480" spans="1:6" x14ac:dyDescent="0.25">
      <c r="A480" t="s">
        <v>3788</v>
      </c>
      <c r="C480" t="s">
        <v>3050</v>
      </c>
      <c r="F480" t="s">
        <v>715</v>
      </c>
    </row>
    <row r="481" spans="1:6" x14ac:dyDescent="0.25">
      <c r="A481" t="s">
        <v>3789</v>
      </c>
      <c r="C481" t="s">
        <v>3051</v>
      </c>
      <c r="F481" t="s">
        <v>716</v>
      </c>
    </row>
    <row r="482" spans="1:6" x14ac:dyDescent="0.25">
      <c r="A482" t="s">
        <v>3790</v>
      </c>
      <c r="C482" t="s">
        <v>3052</v>
      </c>
      <c r="F482" t="s">
        <v>717</v>
      </c>
    </row>
    <row r="483" spans="1:6" x14ac:dyDescent="0.25">
      <c r="A483" t="s">
        <v>3791</v>
      </c>
      <c r="C483" t="s">
        <v>3053</v>
      </c>
      <c r="F483" t="s">
        <v>718</v>
      </c>
    </row>
    <row r="484" spans="1:6" x14ac:dyDescent="0.25">
      <c r="A484" t="s">
        <v>3792</v>
      </c>
      <c r="C484" t="s">
        <v>3054</v>
      </c>
      <c r="F484" t="s">
        <v>719</v>
      </c>
    </row>
    <row r="485" spans="1:6" x14ac:dyDescent="0.25">
      <c r="A485" t="s">
        <v>1439</v>
      </c>
      <c r="C485" t="s">
        <v>3055</v>
      </c>
      <c r="F485" t="s">
        <v>720</v>
      </c>
    </row>
    <row r="486" spans="1:6" x14ac:dyDescent="0.25">
      <c r="A486" t="s">
        <v>217</v>
      </c>
      <c r="C486" t="s">
        <v>3056</v>
      </c>
      <c r="F486" t="s">
        <v>721</v>
      </c>
    </row>
    <row r="487" spans="1:6" x14ac:dyDescent="0.25">
      <c r="A487" t="s">
        <v>3793</v>
      </c>
      <c r="C487" t="s">
        <v>3057</v>
      </c>
      <c r="F487" t="s">
        <v>722</v>
      </c>
    </row>
    <row r="488" spans="1:6" x14ac:dyDescent="0.25">
      <c r="A488" t="s">
        <v>3794</v>
      </c>
      <c r="C488" t="s">
        <v>961</v>
      </c>
      <c r="F488" t="s">
        <v>723</v>
      </c>
    </row>
    <row r="489" spans="1:6" x14ac:dyDescent="0.25">
      <c r="A489" t="s">
        <v>3795</v>
      </c>
      <c r="C489" t="s">
        <v>3058</v>
      </c>
      <c r="F489" t="s">
        <v>724</v>
      </c>
    </row>
    <row r="490" spans="1:6" x14ac:dyDescent="0.25">
      <c r="A490" t="s">
        <v>3796</v>
      </c>
      <c r="C490" t="s">
        <v>3059</v>
      </c>
      <c r="F490" t="s">
        <v>725</v>
      </c>
    </row>
    <row r="491" spans="1:6" x14ac:dyDescent="0.25">
      <c r="A491" t="s">
        <v>3797</v>
      </c>
      <c r="C491" t="s">
        <v>3060</v>
      </c>
      <c r="F491" t="s">
        <v>726</v>
      </c>
    </row>
    <row r="492" spans="1:6" x14ac:dyDescent="0.25">
      <c r="A492" t="s">
        <v>3798</v>
      </c>
      <c r="C492" t="s">
        <v>3061</v>
      </c>
      <c r="F492" t="s">
        <v>727</v>
      </c>
    </row>
    <row r="493" spans="1:6" x14ac:dyDescent="0.25">
      <c r="A493" t="s">
        <v>3799</v>
      </c>
      <c r="C493" t="s">
        <v>3062</v>
      </c>
      <c r="F493" t="s">
        <v>728</v>
      </c>
    </row>
    <row r="494" spans="1:6" x14ac:dyDescent="0.25">
      <c r="A494" t="s">
        <v>3800</v>
      </c>
      <c r="C494" t="s">
        <v>3063</v>
      </c>
      <c r="F494" t="s">
        <v>729</v>
      </c>
    </row>
    <row r="495" spans="1:6" x14ac:dyDescent="0.25">
      <c r="A495" t="s">
        <v>3801</v>
      </c>
      <c r="C495" t="s">
        <v>982</v>
      </c>
      <c r="F495" t="s">
        <v>730</v>
      </c>
    </row>
    <row r="496" spans="1:6" x14ac:dyDescent="0.25">
      <c r="A496" t="s">
        <v>3802</v>
      </c>
      <c r="C496" t="s">
        <v>3064</v>
      </c>
      <c r="F496" t="s">
        <v>731</v>
      </c>
    </row>
    <row r="497" spans="1:6" x14ac:dyDescent="0.25">
      <c r="A497" t="s">
        <v>3803</v>
      </c>
      <c r="C497" t="s">
        <v>3065</v>
      </c>
      <c r="F497" t="s">
        <v>732</v>
      </c>
    </row>
    <row r="498" spans="1:6" x14ac:dyDescent="0.25">
      <c r="A498" t="s">
        <v>3804</v>
      </c>
      <c r="C498" t="s">
        <v>3066</v>
      </c>
      <c r="F498" t="s">
        <v>733</v>
      </c>
    </row>
    <row r="499" spans="1:6" x14ac:dyDescent="0.25">
      <c r="A499" t="s">
        <v>3805</v>
      </c>
      <c r="C499" t="s">
        <v>3067</v>
      </c>
      <c r="F499" t="s">
        <v>734</v>
      </c>
    </row>
    <row r="500" spans="1:6" x14ac:dyDescent="0.25">
      <c r="A500" t="s">
        <v>598</v>
      </c>
      <c r="C500" t="s">
        <v>3068</v>
      </c>
      <c r="F500" t="s">
        <v>735</v>
      </c>
    </row>
    <row r="501" spans="1:6" x14ac:dyDescent="0.25">
      <c r="A501" t="s">
        <v>3806</v>
      </c>
      <c r="C501" t="s">
        <v>3069</v>
      </c>
      <c r="F501" t="s">
        <v>736</v>
      </c>
    </row>
    <row r="502" spans="1:6" x14ac:dyDescent="0.25">
      <c r="A502" t="s">
        <v>3807</v>
      </c>
      <c r="C502" t="s">
        <v>3070</v>
      </c>
      <c r="F502" t="s">
        <v>737</v>
      </c>
    </row>
    <row r="503" spans="1:6" x14ac:dyDescent="0.25">
      <c r="A503" t="s">
        <v>3808</v>
      </c>
      <c r="C503" t="s">
        <v>3071</v>
      </c>
      <c r="F503" t="s">
        <v>738</v>
      </c>
    </row>
    <row r="504" spans="1:6" x14ac:dyDescent="0.25">
      <c r="A504" t="s">
        <v>3809</v>
      </c>
      <c r="C504" t="s">
        <v>3072</v>
      </c>
      <c r="F504" t="s">
        <v>200</v>
      </c>
    </row>
    <row r="505" spans="1:6" x14ac:dyDescent="0.25">
      <c r="A505" t="s">
        <v>2609</v>
      </c>
      <c r="C505" t="s">
        <v>3073</v>
      </c>
      <c r="F505" t="s">
        <v>739</v>
      </c>
    </row>
    <row r="506" spans="1:6" x14ac:dyDescent="0.25">
      <c r="A506" t="s">
        <v>3810</v>
      </c>
      <c r="C506" t="s">
        <v>3074</v>
      </c>
      <c r="F506" t="s">
        <v>740</v>
      </c>
    </row>
    <row r="507" spans="1:6" x14ac:dyDescent="0.25">
      <c r="A507" t="s">
        <v>229</v>
      </c>
      <c r="C507" t="s">
        <v>3075</v>
      </c>
      <c r="F507" t="s">
        <v>741</v>
      </c>
    </row>
    <row r="508" spans="1:6" x14ac:dyDescent="0.25">
      <c r="A508" t="s">
        <v>41</v>
      </c>
      <c r="C508" t="s">
        <v>3076</v>
      </c>
      <c r="F508" t="s">
        <v>742</v>
      </c>
    </row>
    <row r="509" spans="1:6" x14ac:dyDescent="0.25">
      <c r="A509" t="s">
        <v>3811</v>
      </c>
      <c r="C509" t="s">
        <v>3077</v>
      </c>
      <c r="F509" t="s">
        <v>743</v>
      </c>
    </row>
    <row r="510" spans="1:6" x14ac:dyDescent="0.25">
      <c r="A510" t="s">
        <v>3812</v>
      </c>
      <c r="C510" t="s">
        <v>3078</v>
      </c>
      <c r="F510" t="s">
        <v>744</v>
      </c>
    </row>
    <row r="511" spans="1:6" x14ac:dyDescent="0.25">
      <c r="A511" t="s">
        <v>1774</v>
      </c>
      <c r="C511" t="s">
        <v>3079</v>
      </c>
      <c r="F511" t="s">
        <v>745</v>
      </c>
    </row>
    <row r="512" spans="1:6" x14ac:dyDescent="0.25">
      <c r="A512" t="s">
        <v>3813</v>
      </c>
      <c r="C512" t="s">
        <v>3080</v>
      </c>
      <c r="F512" t="s">
        <v>746</v>
      </c>
    </row>
    <row r="513" spans="1:6" x14ac:dyDescent="0.25">
      <c r="A513" t="s">
        <v>3814</v>
      </c>
      <c r="C513" t="s">
        <v>3081</v>
      </c>
      <c r="F513" t="s">
        <v>747</v>
      </c>
    </row>
    <row r="514" spans="1:6" x14ac:dyDescent="0.25">
      <c r="A514" t="s">
        <v>3815</v>
      </c>
      <c r="C514" t="s">
        <v>3082</v>
      </c>
      <c r="F514" t="s">
        <v>748</v>
      </c>
    </row>
    <row r="515" spans="1:6" x14ac:dyDescent="0.25">
      <c r="A515" t="s">
        <v>2474</v>
      </c>
      <c r="C515" t="s">
        <v>3083</v>
      </c>
      <c r="F515" t="s">
        <v>749</v>
      </c>
    </row>
    <row r="516" spans="1:6" x14ac:dyDescent="0.25">
      <c r="A516" t="s">
        <v>3816</v>
      </c>
      <c r="C516" t="s">
        <v>3084</v>
      </c>
      <c r="F516" t="s">
        <v>750</v>
      </c>
    </row>
    <row r="517" spans="1:6" x14ac:dyDescent="0.25">
      <c r="A517" t="s">
        <v>1312</v>
      </c>
      <c r="C517" t="s">
        <v>3085</v>
      </c>
      <c r="F517" t="s">
        <v>751</v>
      </c>
    </row>
    <row r="518" spans="1:6" x14ac:dyDescent="0.25">
      <c r="A518" t="s">
        <v>3817</v>
      </c>
      <c r="C518" t="s">
        <v>226</v>
      </c>
      <c r="F518" t="s">
        <v>752</v>
      </c>
    </row>
    <row r="519" spans="1:6" x14ac:dyDescent="0.25">
      <c r="A519" t="s">
        <v>3818</v>
      </c>
      <c r="C519" t="s">
        <v>3086</v>
      </c>
      <c r="F519" t="s">
        <v>753</v>
      </c>
    </row>
    <row r="520" spans="1:6" x14ac:dyDescent="0.25">
      <c r="A520" t="s">
        <v>2830</v>
      </c>
      <c r="C520" t="s">
        <v>3087</v>
      </c>
      <c r="F520" t="s">
        <v>754</v>
      </c>
    </row>
    <row r="521" spans="1:6" x14ac:dyDescent="0.25">
      <c r="A521" t="s">
        <v>3819</v>
      </c>
      <c r="C521" t="s">
        <v>3088</v>
      </c>
      <c r="F521" t="s">
        <v>755</v>
      </c>
    </row>
    <row r="522" spans="1:6" x14ac:dyDescent="0.25">
      <c r="A522" t="s">
        <v>3820</v>
      </c>
      <c r="C522" t="s">
        <v>3089</v>
      </c>
      <c r="F522" t="s">
        <v>756</v>
      </c>
    </row>
    <row r="523" spans="1:6" x14ac:dyDescent="0.25">
      <c r="A523" t="s">
        <v>3821</v>
      </c>
      <c r="C523" t="s">
        <v>3090</v>
      </c>
      <c r="F523" t="s">
        <v>757</v>
      </c>
    </row>
    <row r="524" spans="1:6" x14ac:dyDescent="0.25">
      <c r="A524" t="s">
        <v>3822</v>
      </c>
      <c r="C524" t="s">
        <v>3091</v>
      </c>
      <c r="F524" t="s">
        <v>758</v>
      </c>
    </row>
    <row r="525" spans="1:6" x14ac:dyDescent="0.25">
      <c r="A525" t="s">
        <v>3823</v>
      </c>
      <c r="C525" t="s">
        <v>3092</v>
      </c>
      <c r="F525" t="s">
        <v>759</v>
      </c>
    </row>
    <row r="526" spans="1:6" x14ac:dyDescent="0.25">
      <c r="A526" t="s">
        <v>1139</v>
      </c>
      <c r="C526" t="s">
        <v>3093</v>
      </c>
      <c r="F526" t="s">
        <v>760</v>
      </c>
    </row>
    <row r="527" spans="1:6" x14ac:dyDescent="0.25">
      <c r="A527" t="s">
        <v>2521</v>
      </c>
      <c r="C527" t="s">
        <v>3094</v>
      </c>
      <c r="F527" t="s">
        <v>761</v>
      </c>
    </row>
    <row r="528" spans="1:6" x14ac:dyDescent="0.25">
      <c r="A528" t="s">
        <v>3824</v>
      </c>
      <c r="C528" t="s">
        <v>3095</v>
      </c>
      <c r="F528" t="s">
        <v>762</v>
      </c>
    </row>
    <row r="529" spans="1:6" x14ac:dyDescent="0.25">
      <c r="A529" t="s">
        <v>3825</v>
      </c>
      <c r="C529" t="s">
        <v>3096</v>
      </c>
      <c r="F529" t="s">
        <v>208</v>
      </c>
    </row>
    <row r="530" spans="1:6" x14ac:dyDescent="0.25">
      <c r="A530" t="s">
        <v>287</v>
      </c>
      <c r="C530" t="s">
        <v>3097</v>
      </c>
      <c r="F530" t="s">
        <v>763</v>
      </c>
    </row>
    <row r="531" spans="1:6" x14ac:dyDescent="0.25">
      <c r="A531" t="s">
        <v>132</v>
      </c>
      <c r="C531" t="s">
        <v>3098</v>
      </c>
      <c r="F531" t="s">
        <v>764</v>
      </c>
    </row>
    <row r="532" spans="1:6" x14ac:dyDescent="0.25">
      <c r="A532" t="s">
        <v>77</v>
      </c>
      <c r="C532" t="s">
        <v>3099</v>
      </c>
      <c r="F532" t="s">
        <v>765</v>
      </c>
    </row>
    <row r="533" spans="1:6" x14ac:dyDescent="0.25">
      <c r="A533" t="s">
        <v>3826</v>
      </c>
      <c r="C533" t="s">
        <v>3100</v>
      </c>
      <c r="F533" t="s">
        <v>766</v>
      </c>
    </row>
    <row r="534" spans="1:6" x14ac:dyDescent="0.25">
      <c r="A534" t="s">
        <v>101</v>
      </c>
      <c r="C534" t="s">
        <v>3101</v>
      </c>
      <c r="F534" t="s">
        <v>767</v>
      </c>
    </row>
    <row r="535" spans="1:6" x14ac:dyDescent="0.25">
      <c r="A535" t="s">
        <v>3827</v>
      </c>
      <c r="C535" t="s">
        <v>3102</v>
      </c>
      <c r="F535" t="s">
        <v>768</v>
      </c>
    </row>
    <row r="536" spans="1:6" x14ac:dyDescent="0.25">
      <c r="A536" t="s">
        <v>2352</v>
      </c>
      <c r="C536" t="s">
        <v>3103</v>
      </c>
      <c r="F536" t="s">
        <v>769</v>
      </c>
    </row>
    <row r="537" spans="1:6" x14ac:dyDescent="0.25">
      <c r="A537" t="s">
        <v>36</v>
      </c>
      <c r="C537" t="s">
        <v>3104</v>
      </c>
      <c r="F537" t="s">
        <v>770</v>
      </c>
    </row>
    <row r="538" spans="1:6" x14ac:dyDescent="0.25">
      <c r="A538" t="s">
        <v>1187</v>
      </c>
      <c r="C538" t="s">
        <v>3105</v>
      </c>
      <c r="F538" t="s">
        <v>771</v>
      </c>
    </row>
    <row r="539" spans="1:6" x14ac:dyDescent="0.25">
      <c r="A539" t="s">
        <v>3828</v>
      </c>
      <c r="C539" t="s">
        <v>3106</v>
      </c>
      <c r="F539" t="s">
        <v>772</v>
      </c>
    </row>
    <row r="540" spans="1:6" x14ac:dyDescent="0.25">
      <c r="A540" t="s">
        <v>3829</v>
      </c>
      <c r="C540" t="s">
        <v>3107</v>
      </c>
      <c r="F540" t="s">
        <v>773</v>
      </c>
    </row>
    <row r="541" spans="1:6" x14ac:dyDescent="0.25">
      <c r="A541" t="s">
        <v>574</v>
      </c>
      <c r="C541" t="s">
        <v>3108</v>
      </c>
      <c r="F541" t="s">
        <v>774</v>
      </c>
    </row>
    <row r="542" spans="1:6" x14ac:dyDescent="0.25">
      <c r="A542" t="s">
        <v>3830</v>
      </c>
      <c r="C542" t="s">
        <v>3109</v>
      </c>
      <c r="F542" t="s">
        <v>775</v>
      </c>
    </row>
    <row r="543" spans="1:6" x14ac:dyDescent="0.25">
      <c r="A543" t="s">
        <v>3831</v>
      </c>
      <c r="C543" t="s">
        <v>3110</v>
      </c>
      <c r="F543" t="s">
        <v>776</v>
      </c>
    </row>
    <row r="544" spans="1:6" x14ac:dyDescent="0.25">
      <c r="A544" t="s">
        <v>3832</v>
      </c>
      <c r="C544" t="s">
        <v>3111</v>
      </c>
      <c r="F544" t="s">
        <v>777</v>
      </c>
    </row>
    <row r="545" spans="1:6" x14ac:dyDescent="0.25">
      <c r="A545" t="s">
        <v>96</v>
      </c>
      <c r="C545" t="s">
        <v>3112</v>
      </c>
      <c r="F545" t="s">
        <v>778</v>
      </c>
    </row>
    <row r="546" spans="1:6" x14ac:dyDescent="0.25">
      <c r="A546" t="s">
        <v>269</v>
      </c>
      <c r="C546" t="s">
        <v>3113</v>
      </c>
      <c r="F546" t="s">
        <v>779</v>
      </c>
    </row>
    <row r="547" spans="1:6" x14ac:dyDescent="0.25">
      <c r="A547" t="s">
        <v>3833</v>
      </c>
      <c r="C547" t="s">
        <v>3114</v>
      </c>
      <c r="F547" t="s">
        <v>780</v>
      </c>
    </row>
    <row r="548" spans="1:6" x14ac:dyDescent="0.25">
      <c r="A548" t="s">
        <v>3834</v>
      </c>
      <c r="C548" t="s">
        <v>3115</v>
      </c>
      <c r="F548" t="s">
        <v>781</v>
      </c>
    </row>
    <row r="549" spans="1:6" x14ac:dyDescent="0.25">
      <c r="A549" t="s">
        <v>3835</v>
      </c>
      <c r="C549" t="s">
        <v>1009</v>
      </c>
      <c r="F549" t="s">
        <v>782</v>
      </c>
    </row>
    <row r="550" spans="1:6" x14ac:dyDescent="0.25">
      <c r="A550" t="s">
        <v>172</v>
      </c>
      <c r="C550" t="s">
        <v>3116</v>
      </c>
      <c r="F550" t="s">
        <v>783</v>
      </c>
    </row>
    <row r="551" spans="1:6" x14ac:dyDescent="0.25">
      <c r="A551" t="s">
        <v>3836</v>
      </c>
      <c r="C551" t="s">
        <v>3117</v>
      </c>
      <c r="F551" t="s">
        <v>784</v>
      </c>
    </row>
    <row r="552" spans="1:6" x14ac:dyDescent="0.25">
      <c r="A552" t="s">
        <v>1318</v>
      </c>
      <c r="C552" t="s">
        <v>3118</v>
      </c>
      <c r="F552" t="s">
        <v>785</v>
      </c>
    </row>
    <row r="553" spans="1:6" x14ac:dyDescent="0.25">
      <c r="A553" t="s">
        <v>3837</v>
      </c>
      <c r="C553" t="s">
        <v>3119</v>
      </c>
      <c r="F553" t="s">
        <v>786</v>
      </c>
    </row>
    <row r="554" spans="1:6" x14ac:dyDescent="0.25">
      <c r="A554" t="s">
        <v>1805</v>
      </c>
      <c r="C554" t="s">
        <v>3120</v>
      </c>
      <c r="F554" t="s">
        <v>787</v>
      </c>
    </row>
    <row r="555" spans="1:6" x14ac:dyDescent="0.25">
      <c r="A555" t="s">
        <v>196</v>
      </c>
      <c r="C555" t="s">
        <v>3121</v>
      </c>
      <c r="F555" t="s">
        <v>788</v>
      </c>
    </row>
    <row r="556" spans="1:6" x14ac:dyDescent="0.25">
      <c r="A556" t="s">
        <v>147</v>
      </c>
      <c r="C556" t="s">
        <v>3122</v>
      </c>
      <c r="F556" t="s">
        <v>789</v>
      </c>
    </row>
    <row r="557" spans="1:6" x14ac:dyDescent="0.25">
      <c r="A557" t="s">
        <v>1941</v>
      </c>
      <c r="C557" t="s">
        <v>697</v>
      </c>
      <c r="F557" t="s">
        <v>790</v>
      </c>
    </row>
    <row r="558" spans="1:6" x14ac:dyDescent="0.25">
      <c r="A558" t="s">
        <v>3838</v>
      </c>
      <c r="C558" t="s">
        <v>3123</v>
      </c>
      <c r="F558" t="s">
        <v>791</v>
      </c>
    </row>
    <row r="559" spans="1:6" x14ac:dyDescent="0.25">
      <c r="A559" t="s">
        <v>3839</v>
      </c>
      <c r="C559" t="s">
        <v>3124</v>
      </c>
      <c r="F559" t="s">
        <v>792</v>
      </c>
    </row>
    <row r="560" spans="1:6" x14ac:dyDescent="0.25">
      <c r="A560" t="s">
        <v>3840</v>
      </c>
      <c r="C560" t="s">
        <v>3125</v>
      </c>
      <c r="F560" t="s">
        <v>793</v>
      </c>
    </row>
    <row r="561" spans="1:6" x14ac:dyDescent="0.25">
      <c r="A561" t="s">
        <v>1376</v>
      </c>
      <c r="C561" t="s">
        <v>3126</v>
      </c>
      <c r="F561" t="s">
        <v>794</v>
      </c>
    </row>
    <row r="562" spans="1:6" x14ac:dyDescent="0.25">
      <c r="A562" t="s">
        <v>120</v>
      </c>
      <c r="C562" t="s">
        <v>3127</v>
      </c>
      <c r="F562" t="s">
        <v>795</v>
      </c>
    </row>
    <row r="563" spans="1:6" x14ac:dyDescent="0.25">
      <c r="A563" t="s">
        <v>3841</v>
      </c>
      <c r="C563" t="s">
        <v>3128</v>
      </c>
      <c r="F563" t="s">
        <v>796</v>
      </c>
    </row>
    <row r="564" spans="1:6" x14ac:dyDescent="0.25">
      <c r="A564" t="s">
        <v>3842</v>
      </c>
      <c r="C564" t="s">
        <v>3129</v>
      </c>
      <c r="F564" t="s">
        <v>797</v>
      </c>
    </row>
    <row r="565" spans="1:6" x14ac:dyDescent="0.25">
      <c r="A565" t="s">
        <v>1255</v>
      </c>
      <c r="C565" t="s">
        <v>3130</v>
      </c>
      <c r="F565" t="s">
        <v>798</v>
      </c>
    </row>
    <row r="566" spans="1:6" x14ac:dyDescent="0.25">
      <c r="A566" t="s">
        <v>3843</v>
      </c>
      <c r="C566" t="s">
        <v>3131</v>
      </c>
      <c r="F566" t="s">
        <v>799</v>
      </c>
    </row>
    <row r="567" spans="1:6" x14ac:dyDescent="0.25">
      <c r="A567" t="s">
        <v>2116</v>
      </c>
      <c r="C567" t="s">
        <v>3132</v>
      </c>
      <c r="F567" t="s">
        <v>800</v>
      </c>
    </row>
    <row r="568" spans="1:6" x14ac:dyDescent="0.25">
      <c r="A568" t="s">
        <v>3844</v>
      </c>
      <c r="C568" t="s">
        <v>3133</v>
      </c>
      <c r="F568" t="s">
        <v>801</v>
      </c>
    </row>
    <row r="569" spans="1:6" x14ac:dyDescent="0.25">
      <c r="A569" t="s">
        <v>3845</v>
      </c>
      <c r="C569" t="s">
        <v>3134</v>
      </c>
      <c r="F569" t="s">
        <v>802</v>
      </c>
    </row>
    <row r="570" spans="1:6" x14ac:dyDescent="0.25">
      <c r="A570" t="s">
        <v>89</v>
      </c>
      <c r="C570" t="s">
        <v>3135</v>
      </c>
      <c r="F570" t="s">
        <v>803</v>
      </c>
    </row>
    <row r="571" spans="1:6" x14ac:dyDescent="0.25">
      <c r="A571" t="s">
        <v>3846</v>
      </c>
      <c r="C571" t="s">
        <v>3136</v>
      </c>
      <c r="F571" t="s">
        <v>804</v>
      </c>
    </row>
    <row r="572" spans="1:6" x14ac:dyDescent="0.25">
      <c r="A572" t="s">
        <v>33</v>
      </c>
      <c r="C572" t="s">
        <v>3137</v>
      </c>
      <c r="F572" t="s">
        <v>805</v>
      </c>
    </row>
    <row r="573" spans="1:6" x14ac:dyDescent="0.25">
      <c r="A573" t="s">
        <v>3847</v>
      </c>
      <c r="C573" t="s">
        <v>3138</v>
      </c>
      <c r="F573" t="s">
        <v>806</v>
      </c>
    </row>
    <row r="574" spans="1:6" x14ac:dyDescent="0.25">
      <c r="A574" t="s">
        <v>3848</v>
      </c>
      <c r="C574" t="s">
        <v>3139</v>
      </c>
      <c r="F574" t="s">
        <v>807</v>
      </c>
    </row>
    <row r="575" spans="1:6" x14ac:dyDescent="0.25">
      <c r="A575" t="s">
        <v>3849</v>
      </c>
      <c r="C575" t="s">
        <v>3140</v>
      </c>
      <c r="F575" t="s">
        <v>808</v>
      </c>
    </row>
    <row r="576" spans="1:6" x14ac:dyDescent="0.25">
      <c r="A576" t="s">
        <v>3850</v>
      </c>
      <c r="C576" t="s">
        <v>3141</v>
      </c>
      <c r="F576" t="s">
        <v>809</v>
      </c>
    </row>
    <row r="577" spans="1:6" x14ac:dyDescent="0.25">
      <c r="A577" t="s">
        <v>3851</v>
      </c>
      <c r="C577" t="s">
        <v>3142</v>
      </c>
      <c r="F577" t="s">
        <v>810</v>
      </c>
    </row>
    <row r="578" spans="1:6" x14ac:dyDescent="0.25">
      <c r="A578" t="s">
        <v>1692</v>
      </c>
      <c r="C578" t="s">
        <v>868</v>
      </c>
      <c r="F578" t="s">
        <v>811</v>
      </c>
    </row>
    <row r="579" spans="1:6" x14ac:dyDescent="0.25">
      <c r="A579" t="s">
        <v>3852</v>
      </c>
      <c r="C579" t="s">
        <v>3143</v>
      </c>
      <c r="F579" t="s">
        <v>812</v>
      </c>
    </row>
    <row r="580" spans="1:6" x14ac:dyDescent="0.25">
      <c r="A580" t="s">
        <v>3853</v>
      </c>
      <c r="C580" t="s">
        <v>3144</v>
      </c>
      <c r="F580" t="s">
        <v>813</v>
      </c>
    </row>
    <row r="581" spans="1:6" x14ac:dyDescent="0.25">
      <c r="A581" t="s">
        <v>3854</v>
      </c>
      <c r="C581" t="s">
        <v>3145</v>
      </c>
      <c r="F581" t="s">
        <v>814</v>
      </c>
    </row>
    <row r="582" spans="1:6" x14ac:dyDescent="0.25">
      <c r="A582" t="s">
        <v>3855</v>
      </c>
      <c r="C582" t="s">
        <v>3146</v>
      </c>
      <c r="F582" t="s">
        <v>815</v>
      </c>
    </row>
    <row r="583" spans="1:6" x14ac:dyDescent="0.25">
      <c r="A583" t="s">
        <v>3856</v>
      </c>
      <c r="C583" t="s">
        <v>3147</v>
      </c>
      <c r="F583" t="s">
        <v>816</v>
      </c>
    </row>
    <row r="584" spans="1:6" x14ac:dyDescent="0.25">
      <c r="A584" t="s">
        <v>1511</v>
      </c>
      <c r="C584" t="s">
        <v>3148</v>
      </c>
      <c r="F584" t="s">
        <v>817</v>
      </c>
    </row>
    <row r="585" spans="1:6" x14ac:dyDescent="0.25">
      <c r="A585" t="s">
        <v>3857</v>
      </c>
      <c r="C585" t="s">
        <v>3149</v>
      </c>
      <c r="F585" t="s">
        <v>818</v>
      </c>
    </row>
    <row r="586" spans="1:6" x14ac:dyDescent="0.25">
      <c r="A586" t="s">
        <v>3858</v>
      </c>
      <c r="C586" t="s">
        <v>3150</v>
      </c>
      <c r="F586" t="s">
        <v>819</v>
      </c>
    </row>
    <row r="587" spans="1:6" x14ac:dyDescent="0.25">
      <c r="A587" t="s">
        <v>3859</v>
      </c>
      <c r="C587" t="s">
        <v>3151</v>
      </c>
      <c r="F587" t="s">
        <v>820</v>
      </c>
    </row>
    <row r="588" spans="1:6" x14ac:dyDescent="0.25">
      <c r="A588" t="s">
        <v>305</v>
      </c>
      <c r="C588" t="s">
        <v>3152</v>
      </c>
      <c r="F588" t="s">
        <v>821</v>
      </c>
    </row>
    <row r="589" spans="1:6" x14ac:dyDescent="0.25">
      <c r="A589" t="s">
        <v>3860</v>
      </c>
      <c r="C589" t="s">
        <v>3153</v>
      </c>
      <c r="F589" t="s">
        <v>822</v>
      </c>
    </row>
    <row r="590" spans="1:6" x14ac:dyDescent="0.25">
      <c r="A590" t="s">
        <v>3861</v>
      </c>
      <c r="C590" t="s">
        <v>3154</v>
      </c>
      <c r="F590" t="s">
        <v>823</v>
      </c>
    </row>
    <row r="591" spans="1:6" x14ac:dyDescent="0.25">
      <c r="A591" t="s">
        <v>108</v>
      </c>
      <c r="C591" t="s">
        <v>3155</v>
      </c>
      <c r="F591" t="s">
        <v>824</v>
      </c>
    </row>
    <row r="592" spans="1:6" x14ac:dyDescent="0.25">
      <c r="A592" t="s">
        <v>2206</v>
      </c>
      <c r="C592" t="s">
        <v>3156</v>
      </c>
      <c r="F592" t="s">
        <v>825</v>
      </c>
    </row>
    <row r="593" spans="1:6" x14ac:dyDescent="0.25">
      <c r="A593" t="s">
        <v>3862</v>
      </c>
      <c r="C593" t="s">
        <v>3157</v>
      </c>
      <c r="F593" t="s">
        <v>826</v>
      </c>
    </row>
    <row r="594" spans="1:6" x14ac:dyDescent="0.25">
      <c r="A594" t="s">
        <v>1654</v>
      </c>
      <c r="C594" t="s">
        <v>3158</v>
      </c>
      <c r="F594" t="s">
        <v>827</v>
      </c>
    </row>
    <row r="595" spans="1:6" x14ac:dyDescent="0.25">
      <c r="A595" t="s">
        <v>3863</v>
      </c>
      <c r="C595" t="s">
        <v>3159</v>
      </c>
      <c r="F595" t="s">
        <v>828</v>
      </c>
    </row>
    <row r="596" spans="1:6" x14ac:dyDescent="0.25">
      <c r="A596" t="s">
        <v>3864</v>
      </c>
      <c r="C596" t="s">
        <v>3160</v>
      </c>
      <c r="F596" t="s">
        <v>829</v>
      </c>
    </row>
    <row r="597" spans="1:6" x14ac:dyDescent="0.25">
      <c r="A597" t="s">
        <v>3865</v>
      </c>
      <c r="C597" t="s">
        <v>3161</v>
      </c>
      <c r="F597" t="s">
        <v>830</v>
      </c>
    </row>
    <row r="598" spans="1:6" x14ac:dyDescent="0.25">
      <c r="A598" t="s">
        <v>3866</v>
      </c>
      <c r="C598" t="s">
        <v>3162</v>
      </c>
      <c r="F598" t="s">
        <v>237</v>
      </c>
    </row>
    <row r="599" spans="1:6" x14ac:dyDescent="0.25">
      <c r="A599" t="s">
        <v>1565</v>
      </c>
      <c r="C599" t="s">
        <v>3163</v>
      </c>
      <c r="F599" t="s">
        <v>831</v>
      </c>
    </row>
    <row r="600" spans="1:6" x14ac:dyDescent="0.25">
      <c r="A600" t="s">
        <v>3867</v>
      </c>
      <c r="C600" t="s">
        <v>1114</v>
      </c>
      <c r="F600" t="s">
        <v>832</v>
      </c>
    </row>
    <row r="601" spans="1:6" x14ac:dyDescent="0.25">
      <c r="A601" t="s">
        <v>232</v>
      </c>
      <c r="C601" t="s">
        <v>3164</v>
      </c>
      <c r="F601" t="s">
        <v>833</v>
      </c>
    </row>
    <row r="602" spans="1:6" x14ac:dyDescent="0.25">
      <c r="A602" t="s">
        <v>2744</v>
      </c>
      <c r="C602" t="s">
        <v>3165</v>
      </c>
      <c r="F602" t="s">
        <v>834</v>
      </c>
    </row>
    <row r="603" spans="1:6" x14ac:dyDescent="0.25">
      <c r="A603" t="s">
        <v>3868</v>
      </c>
      <c r="C603" t="s">
        <v>3166</v>
      </c>
      <c r="F603" t="s">
        <v>835</v>
      </c>
    </row>
    <row r="604" spans="1:6" x14ac:dyDescent="0.25">
      <c r="A604" t="s">
        <v>3869</v>
      </c>
      <c r="C604" t="s">
        <v>3167</v>
      </c>
      <c r="F604" t="s">
        <v>836</v>
      </c>
    </row>
    <row r="605" spans="1:6" x14ac:dyDescent="0.25">
      <c r="A605" t="s">
        <v>112</v>
      </c>
      <c r="C605" t="s">
        <v>1553</v>
      </c>
      <c r="F605" t="s">
        <v>837</v>
      </c>
    </row>
    <row r="606" spans="1:6" x14ac:dyDescent="0.25">
      <c r="A606" t="s">
        <v>3870</v>
      </c>
      <c r="C606" t="s">
        <v>3168</v>
      </c>
      <c r="F606" t="s">
        <v>838</v>
      </c>
    </row>
    <row r="607" spans="1:6" x14ac:dyDescent="0.25">
      <c r="A607" t="s">
        <v>3871</v>
      </c>
      <c r="C607" t="s">
        <v>3169</v>
      </c>
      <c r="F607" t="s">
        <v>839</v>
      </c>
    </row>
    <row r="608" spans="1:6" x14ac:dyDescent="0.25">
      <c r="A608" t="s">
        <v>3872</v>
      </c>
      <c r="C608" t="s">
        <v>3170</v>
      </c>
      <c r="F608" t="s">
        <v>840</v>
      </c>
    </row>
    <row r="609" spans="1:6" x14ac:dyDescent="0.25">
      <c r="A609" t="s">
        <v>3873</v>
      </c>
      <c r="C609" t="s">
        <v>3171</v>
      </c>
      <c r="F609" t="s">
        <v>841</v>
      </c>
    </row>
    <row r="610" spans="1:6" x14ac:dyDescent="0.25">
      <c r="A610" t="s">
        <v>904</v>
      </c>
      <c r="C610" t="s">
        <v>3172</v>
      </c>
      <c r="F610" t="s">
        <v>842</v>
      </c>
    </row>
    <row r="611" spans="1:6" x14ac:dyDescent="0.25">
      <c r="A611" t="s">
        <v>227</v>
      </c>
      <c r="C611" t="s">
        <v>3173</v>
      </c>
      <c r="F611" t="s">
        <v>843</v>
      </c>
    </row>
    <row r="612" spans="1:6" x14ac:dyDescent="0.25">
      <c r="A612" t="s">
        <v>2812</v>
      </c>
      <c r="C612" t="s">
        <v>3174</v>
      </c>
      <c r="F612" t="s">
        <v>844</v>
      </c>
    </row>
    <row r="613" spans="1:6" x14ac:dyDescent="0.25">
      <c r="A613" t="s">
        <v>2100</v>
      </c>
      <c r="C613" t="s">
        <v>3175</v>
      </c>
      <c r="F613" t="s">
        <v>845</v>
      </c>
    </row>
    <row r="614" spans="1:6" x14ac:dyDescent="0.25">
      <c r="A614" t="s">
        <v>3874</v>
      </c>
      <c r="C614" t="s">
        <v>3176</v>
      </c>
      <c r="F614" t="s">
        <v>846</v>
      </c>
    </row>
    <row r="615" spans="1:6" x14ac:dyDescent="0.25">
      <c r="A615" t="s">
        <v>3875</v>
      </c>
      <c r="C615" t="s">
        <v>3177</v>
      </c>
      <c r="F615" t="s">
        <v>847</v>
      </c>
    </row>
    <row r="616" spans="1:6" x14ac:dyDescent="0.25">
      <c r="A616" t="s">
        <v>1189</v>
      </c>
      <c r="C616" t="s">
        <v>3178</v>
      </c>
      <c r="F616" t="s">
        <v>848</v>
      </c>
    </row>
    <row r="617" spans="1:6" x14ac:dyDescent="0.25">
      <c r="A617" t="s">
        <v>3876</v>
      </c>
      <c r="C617" t="s">
        <v>3179</v>
      </c>
      <c r="F617" t="s">
        <v>849</v>
      </c>
    </row>
    <row r="618" spans="1:6" x14ac:dyDescent="0.25">
      <c r="A618" t="s">
        <v>3877</v>
      </c>
      <c r="C618" t="s">
        <v>3180</v>
      </c>
      <c r="F618" t="s">
        <v>850</v>
      </c>
    </row>
    <row r="619" spans="1:6" x14ac:dyDescent="0.25">
      <c r="A619" t="s">
        <v>3878</v>
      </c>
      <c r="C619" t="s">
        <v>3181</v>
      </c>
      <c r="F619" t="s">
        <v>75</v>
      </c>
    </row>
    <row r="620" spans="1:6" x14ac:dyDescent="0.25">
      <c r="A620" t="s">
        <v>141</v>
      </c>
      <c r="C620" t="s">
        <v>3182</v>
      </c>
      <c r="F620" t="s">
        <v>851</v>
      </c>
    </row>
    <row r="621" spans="1:6" x14ac:dyDescent="0.25">
      <c r="A621" t="s">
        <v>2071</v>
      </c>
      <c r="C621" t="s">
        <v>3183</v>
      </c>
      <c r="F621" t="s">
        <v>852</v>
      </c>
    </row>
    <row r="622" spans="1:6" x14ac:dyDescent="0.25">
      <c r="A622" t="s">
        <v>3879</v>
      </c>
      <c r="C622" t="s">
        <v>3184</v>
      </c>
      <c r="F622" t="s">
        <v>853</v>
      </c>
    </row>
    <row r="623" spans="1:6" x14ac:dyDescent="0.25">
      <c r="A623" t="s">
        <v>3880</v>
      </c>
      <c r="C623" t="s">
        <v>3185</v>
      </c>
      <c r="F623" t="s">
        <v>854</v>
      </c>
    </row>
    <row r="624" spans="1:6" x14ac:dyDescent="0.25">
      <c r="A624" t="s">
        <v>3881</v>
      </c>
      <c r="C624" t="s">
        <v>3186</v>
      </c>
      <c r="F624" t="s">
        <v>855</v>
      </c>
    </row>
    <row r="625" spans="1:6" x14ac:dyDescent="0.25">
      <c r="A625" t="s">
        <v>3882</v>
      </c>
      <c r="C625" t="s">
        <v>3187</v>
      </c>
      <c r="F625" t="s">
        <v>856</v>
      </c>
    </row>
    <row r="626" spans="1:6" x14ac:dyDescent="0.25">
      <c r="A626" t="s">
        <v>1290</v>
      </c>
      <c r="C626" t="s">
        <v>3188</v>
      </c>
      <c r="F626" t="s">
        <v>857</v>
      </c>
    </row>
    <row r="627" spans="1:6" x14ac:dyDescent="0.25">
      <c r="A627" t="s">
        <v>3883</v>
      </c>
      <c r="C627" t="s">
        <v>3189</v>
      </c>
      <c r="F627" t="s">
        <v>858</v>
      </c>
    </row>
    <row r="628" spans="1:6" x14ac:dyDescent="0.25">
      <c r="A628" t="s">
        <v>3884</v>
      </c>
      <c r="C628" t="s">
        <v>3190</v>
      </c>
      <c r="F628" t="s">
        <v>859</v>
      </c>
    </row>
    <row r="629" spans="1:6" x14ac:dyDescent="0.25">
      <c r="A629" t="s">
        <v>3885</v>
      </c>
      <c r="C629" t="s">
        <v>3191</v>
      </c>
      <c r="F629" t="s">
        <v>860</v>
      </c>
    </row>
    <row r="630" spans="1:6" x14ac:dyDescent="0.25">
      <c r="A630" t="s">
        <v>3886</v>
      </c>
      <c r="C630" t="s">
        <v>966</v>
      </c>
      <c r="F630" t="s">
        <v>861</v>
      </c>
    </row>
    <row r="631" spans="1:6" x14ac:dyDescent="0.25">
      <c r="A631" t="s">
        <v>195</v>
      </c>
      <c r="C631" t="s">
        <v>3192</v>
      </c>
      <c r="F631" t="s">
        <v>1119</v>
      </c>
    </row>
    <row r="632" spans="1:6" x14ac:dyDescent="0.25">
      <c r="A632" t="s">
        <v>92</v>
      </c>
      <c r="C632" t="s">
        <v>3193</v>
      </c>
      <c r="F632" t="s">
        <v>1120</v>
      </c>
    </row>
    <row r="633" spans="1:6" x14ac:dyDescent="0.25">
      <c r="A633" t="s">
        <v>146</v>
      </c>
      <c r="C633" t="s">
        <v>3194</v>
      </c>
      <c r="F633" t="s">
        <v>1121</v>
      </c>
    </row>
    <row r="634" spans="1:6" x14ac:dyDescent="0.25">
      <c r="A634" t="s">
        <v>3887</v>
      </c>
      <c r="C634" t="s">
        <v>3195</v>
      </c>
      <c r="F634" t="s">
        <v>1122</v>
      </c>
    </row>
    <row r="635" spans="1:6" x14ac:dyDescent="0.25">
      <c r="A635" t="s">
        <v>3888</v>
      </c>
      <c r="C635" t="s">
        <v>3196</v>
      </c>
      <c r="F635" t="s">
        <v>1123</v>
      </c>
    </row>
    <row r="636" spans="1:6" x14ac:dyDescent="0.25">
      <c r="A636" t="s">
        <v>366</v>
      </c>
      <c r="C636" t="s">
        <v>3197</v>
      </c>
      <c r="F636" t="s">
        <v>1124</v>
      </c>
    </row>
    <row r="637" spans="1:6" x14ac:dyDescent="0.25">
      <c r="A637" t="s">
        <v>3889</v>
      </c>
      <c r="C637" t="s">
        <v>360</v>
      </c>
      <c r="F637" t="s">
        <v>1125</v>
      </c>
    </row>
    <row r="638" spans="1:6" x14ac:dyDescent="0.25">
      <c r="A638" t="s">
        <v>3890</v>
      </c>
      <c r="C638" t="s">
        <v>3198</v>
      </c>
      <c r="F638" t="s">
        <v>1126</v>
      </c>
    </row>
    <row r="639" spans="1:6" x14ac:dyDescent="0.25">
      <c r="A639" t="s">
        <v>3891</v>
      </c>
      <c r="C639" t="s">
        <v>3199</v>
      </c>
      <c r="F639" t="s">
        <v>50</v>
      </c>
    </row>
    <row r="640" spans="1:6" x14ac:dyDescent="0.25">
      <c r="A640" t="s">
        <v>3892</v>
      </c>
      <c r="C640" t="s">
        <v>3200</v>
      </c>
      <c r="F640" t="s">
        <v>1127</v>
      </c>
    </row>
    <row r="641" spans="1:6" x14ac:dyDescent="0.25">
      <c r="A641" t="s">
        <v>3893</v>
      </c>
      <c r="C641" t="s">
        <v>1025</v>
      </c>
      <c r="F641" t="s">
        <v>1128</v>
      </c>
    </row>
    <row r="642" spans="1:6" x14ac:dyDescent="0.25">
      <c r="A642" t="s">
        <v>3894</v>
      </c>
      <c r="C642" t="s">
        <v>3201</v>
      </c>
      <c r="F642" t="s">
        <v>80</v>
      </c>
    </row>
    <row r="643" spans="1:6" x14ac:dyDescent="0.25">
      <c r="A643" t="s">
        <v>1231</v>
      </c>
      <c r="C643" t="s">
        <v>3202</v>
      </c>
      <c r="F643" t="s">
        <v>1129</v>
      </c>
    </row>
    <row r="644" spans="1:6" x14ac:dyDescent="0.25">
      <c r="A644" t="s">
        <v>115</v>
      </c>
      <c r="C644" t="s">
        <v>3203</v>
      </c>
      <c r="F644" t="s">
        <v>45</v>
      </c>
    </row>
    <row r="645" spans="1:6" x14ac:dyDescent="0.25">
      <c r="A645" t="s">
        <v>2384</v>
      </c>
      <c r="C645" t="s">
        <v>3204</v>
      </c>
      <c r="F645" t="s">
        <v>1130</v>
      </c>
    </row>
    <row r="646" spans="1:6" x14ac:dyDescent="0.25">
      <c r="A646" t="s">
        <v>3895</v>
      </c>
      <c r="C646" t="s">
        <v>3205</v>
      </c>
      <c r="F646" t="s">
        <v>1131</v>
      </c>
    </row>
    <row r="647" spans="1:6" x14ac:dyDescent="0.25">
      <c r="A647" t="s">
        <v>3896</v>
      </c>
      <c r="C647" t="s">
        <v>3206</v>
      </c>
      <c r="F647" t="s">
        <v>1132</v>
      </c>
    </row>
    <row r="648" spans="1:6" x14ac:dyDescent="0.25">
      <c r="A648" t="s">
        <v>14</v>
      </c>
      <c r="C648" t="s">
        <v>3207</v>
      </c>
      <c r="F648" t="s">
        <v>1133</v>
      </c>
    </row>
    <row r="649" spans="1:6" x14ac:dyDescent="0.25">
      <c r="A649" t="s">
        <v>90</v>
      </c>
      <c r="C649" t="s">
        <v>3208</v>
      </c>
      <c r="F649" t="s">
        <v>1134</v>
      </c>
    </row>
    <row r="650" spans="1:6" x14ac:dyDescent="0.25">
      <c r="A650" t="s">
        <v>3897</v>
      </c>
      <c r="C650" t="s">
        <v>3209</v>
      </c>
      <c r="F650" t="s">
        <v>1135</v>
      </c>
    </row>
    <row r="651" spans="1:6" x14ac:dyDescent="0.25">
      <c r="A651" t="s">
        <v>3898</v>
      </c>
      <c r="C651" t="s">
        <v>3210</v>
      </c>
      <c r="F651" t="s">
        <v>81</v>
      </c>
    </row>
    <row r="652" spans="1:6" x14ac:dyDescent="0.25">
      <c r="A652" t="s">
        <v>168</v>
      </c>
      <c r="C652" t="s">
        <v>3211</v>
      </c>
      <c r="F652" t="s">
        <v>1136</v>
      </c>
    </row>
    <row r="653" spans="1:6" x14ac:dyDescent="0.25">
      <c r="A653" t="s">
        <v>3899</v>
      </c>
      <c r="C653" t="s">
        <v>3212</v>
      </c>
      <c r="F653" t="s">
        <v>1137</v>
      </c>
    </row>
    <row r="654" spans="1:6" x14ac:dyDescent="0.25">
      <c r="A654" t="s">
        <v>3900</v>
      </c>
      <c r="C654" t="s">
        <v>3213</v>
      </c>
      <c r="F654" t="s">
        <v>1138</v>
      </c>
    </row>
    <row r="655" spans="1:6" x14ac:dyDescent="0.25">
      <c r="A655" t="s">
        <v>3901</v>
      </c>
      <c r="C655" t="s">
        <v>3214</v>
      </c>
      <c r="F655" t="s">
        <v>1139</v>
      </c>
    </row>
    <row r="656" spans="1:6" x14ac:dyDescent="0.25">
      <c r="A656" t="s">
        <v>748</v>
      </c>
      <c r="C656" t="s">
        <v>3215</v>
      </c>
      <c r="F656" t="s">
        <v>1140</v>
      </c>
    </row>
    <row r="657" spans="1:6" x14ac:dyDescent="0.25">
      <c r="A657" t="s">
        <v>3902</v>
      </c>
      <c r="C657" t="s">
        <v>3216</v>
      </c>
      <c r="F657" t="s">
        <v>1141</v>
      </c>
    </row>
    <row r="658" spans="1:6" x14ac:dyDescent="0.25">
      <c r="A658" t="s">
        <v>3903</v>
      </c>
      <c r="C658" t="s">
        <v>3217</v>
      </c>
      <c r="F658" t="s">
        <v>1142</v>
      </c>
    </row>
    <row r="659" spans="1:6" x14ac:dyDescent="0.25">
      <c r="A659" t="s">
        <v>3904</v>
      </c>
      <c r="C659" t="s">
        <v>3218</v>
      </c>
      <c r="F659" t="s">
        <v>1143</v>
      </c>
    </row>
    <row r="660" spans="1:6" x14ac:dyDescent="0.25">
      <c r="A660" t="s">
        <v>114</v>
      </c>
      <c r="C660" t="s">
        <v>3219</v>
      </c>
      <c r="F660" t="s">
        <v>1144</v>
      </c>
    </row>
    <row r="661" spans="1:6" x14ac:dyDescent="0.25">
      <c r="A661" t="s">
        <v>17</v>
      </c>
      <c r="C661" t="s">
        <v>3220</v>
      </c>
      <c r="F661" t="s">
        <v>1145</v>
      </c>
    </row>
    <row r="662" spans="1:6" x14ac:dyDescent="0.25">
      <c r="A662" t="s">
        <v>2451</v>
      </c>
      <c r="C662" t="s">
        <v>3221</v>
      </c>
      <c r="F662" t="s">
        <v>1146</v>
      </c>
    </row>
    <row r="663" spans="1:6" x14ac:dyDescent="0.25">
      <c r="A663" t="s">
        <v>3905</v>
      </c>
      <c r="C663" t="s">
        <v>3222</v>
      </c>
      <c r="F663" t="s">
        <v>1147</v>
      </c>
    </row>
    <row r="664" spans="1:6" x14ac:dyDescent="0.25">
      <c r="A664" t="s">
        <v>3906</v>
      </c>
      <c r="C664" t="s">
        <v>3223</v>
      </c>
      <c r="F664" t="s">
        <v>1148</v>
      </c>
    </row>
    <row r="665" spans="1:6" x14ac:dyDescent="0.25">
      <c r="A665" t="s">
        <v>2707</v>
      </c>
      <c r="C665" t="s">
        <v>3224</v>
      </c>
      <c r="F665" t="s">
        <v>1149</v>
      </c>
    </row>
    <row r="666" spans="1:6" x14ac:dyDescent="0.25">
      <c r="A666" t="s">
        <v>25</v>
      </c>
      <c r="C666" t="s">
        <v>3225</v>
      </c>
      <c r="F666" t="s">
        <v>1150</v>
      </c>
    </row>
    <row r="667" spans="1:6" x14ac:dyDescent="0.25">
      <c r="A667" t="s">
        <v>3907</v>
      </c>
      <c r="C667" t="s">
        <v>3226</v>
      </c>
      <c r="F667" t="s">
        <v>1151</v>
      </c>
    </row>
    <row r="668" spans="1:6" x14ac:dyDescent="0.25">
      <c r="A668" t="s">
        <v>3908</v>
      </c>
      <c r="C668" t="s">
        <v>3227</v>
      </c>
      <c r="F668" t="s">
        <v>1152</v>
      </c>
    </row>
    <row r="669" spans="1:6" x14ac:dyDescent="0.25">
      <c r="A669" t="s">
        <v>3909</v>
      </c>
      <c r="C669" t="s">
        <v>3228</v>
      </c>
      <c r="F669" t="s">
        <v>1153</v>
      </c>
    </row>
    <row r="670" spans="1:6" x14ac:dyDescent="0.25">
      <c r="A670" t="s">
        <v>3910</v>
      </c>
      <c r="C670" t="s">
        <v>3229</v>
      </c>
      <c r="F670" t="s">
        <v>1154</v>
      </c>
    </row>
    <row r="671" spans="1:6" x14ac:dyDescent="0.25">
      <c r="A671" t="s">
        <v>1546</v>
      </c>
      <c r="C671" t="s">
        <v>3230</v>
      </c>
      <c r="F671" t="s">
        <v>43</v>
      </c>
    </row>
    <row r="672" spans="1:6" x14ac:dyDescent="0.25">
      <c r="A672" t="s">
        <v>3911</v>
      </c>
      <c r="C672" t="s">
        <v>3231</v>
      </c>
      <c r="F672" t="s">
        <v>1155</v>
      </c>
    </row>
    <row r="673" spans="1:6" x14ac:dyDescent="0.25">
      <c r="A673" t="s">
        <v>87</v>
      </c>
      <c r="C673" t="s">
        <v>3232</v>
      </c>
      <c r="F673" t="s">
        <v>1156</v>
      </c>
    </row>
    <row r="674" spans="1:6" x14ac:dyDescent="0.25">
      <c r="A674" t="s">
        <v>3912</v>
      </c>
      <c r="C674" t="s">
        <v>3233</v>
      </c>
      <c r="F674" t="s">
        <v>1157</v>
      </c>
    </row>
    <row r="675" spans="1:6" x14ac:dyDescent="0.25">
      <c r="A675" t="s">
        <v>139</v>
      </c>
      <c r="C675" t="s">
        <v>3234</v>
      </c>
      <c r="F675" t="s">
        <v>881</v>
      </c>
    </row>
    <row r="676" spans="1:6" x14ac:dyDescent="0.25">
      <c r="A676" t="s">
        <v>671</v>
      </c>
      <c r="C676" t="s">
        <v>3235</v>
      </c>
      <c r="F676" t="s">
        <v>1158</v>
      </c>
    </row>
    <row r="677" spans="1:6" x14ac:dyDescent="0.25">
      <c r="A677" t="s">
        <v>2455</v>
      </c>
      <c r="C677" t="s">
        <v>3236</v>
      </c>
      <c r="F677" t="s">
        <v>1159</v>
      </c>
    </row>
    <row r="678" spans="1:6" x14ac:dyDescent="0.25">
      <c r="A678" t="s">
        <v>3913</v>
      </c>
      <c r="C678" t="s">
        <v>3237</v>
      </c>
      <c r="F678" t="s">
        <v>1160</v>
      </c>
    </row>
    <row r="679" spans="1:6" x14ac:dyDescent="0.25">
      <c r="A679" t="s">
        <v>1243</v>
      </c>
      <c r="C679" t="s">
        <v>3238</v>
      </c>
      <c r="F679" t="s">
        <v>1161</v>
      </c>
    </row>
    <row r="680" spans="1:6" x14ac:dyDescent="0.25">
      <c r="A680" t="s">
        <v>49</v>
      </c>
      <c r="C680" t="s">
        <v>3239</v>
      </c>
      <c r="F680" t="s">
        <v>1162</v>
      </c>
    </row>
    <row r="681" spans="1:6" x14ac:dyDescent="0.25">
      <c r="A681" t="s">
        <v>3914</v>
      </c>
      <c r="C681" t="s">
        <v>3240</v>
      </c>
      <c r="F681" t="s">
        <v>1163</v>
      </c>
    </row>
    <row r="682" spans="1:6" x14ac:dyDescent="0.25">
      <c r="A682" t="s">
        <v>644</v>
      </c>
      <c r="C682" t="s">
        <v>3241</v>
      </c>
      <c r="F682" t="s">
        <v>1164</v>
      </c>
    </row>
    <row r="683" spans="1:6" x14ac:dyDescent="0.25">
      <c r="A683" t="s">
        <v>3915</v>
      </c>
      <c r="C683" t="s">
        <v>3242</v>
      </c>
      <c r="F683" t="s">
        <v>1165</v>
      </c>
    </row>
    <row r="684" spans="1:6" x14ac:dyDescent="0.25">
      <c r="A684" t="s">
        <v>3916</v>
      </c>
      <c r="C684" t="s">
        <v>3243</v>
      </c>
      <c r="F684" t="s">
        <v>1166</v>
      </c>
    </row>
    <row r="685" spans="1:6" x14ac:dyDescent="0.25">
      <c r="A685" t="s">
        <v>133</v>
      </c>
      <c r="C685" t="s">
        <v>3244</v>
      </c>
      <c r="F685" t="s">
        <v>1167</v>
      </c>
    </row>
    <row r="686" spans="1:6" x14ac:dyDescent="0.25">
      <c r="A686" t="s">
        <v>3917</v>
      </c>
      <c r="C686" t="s">
        <v>3245</v>
      </c>
      <c r="F686" t="s">
        <v>70</v>
      </c>
    </row>
    <row r="687" spans="1:6" x14ac:dyDescent="0.25">
      <c r="A687" t="s">
        <v>3918</v>
      </c>
      <c r="C687" t="s">
        <v>3246</v>
      </c>
      <c r="F687" t="s">
        <v>1168</v>
      </c>
    </row>
    <row r="688" spans="1:6" x14ac:dyDescent="0.25">
      <c r="A688" t="s">
        <v>3919</v>
      </c>
      <c r="C688" t="s">
        <v>3247</v>
      </c>
      <c r="F688" t="s">
        <v>1169</v>
      </c>
    </row>
    <row r="689" spans="1:6" x14ac:dyDescent="0.25">
      <c r="A689" t="s">
        <v>1200</v>
      </c>
      <c r="C689" t="s">
        <v>3248</v>
      </c>
      <c r="F689" t="s">
        <v>1170</v>
      </c>
    </row>
    <row r="690" spans="1:6" x14ac:dyDescent="0.25">
      <c r="A690" t="s">
        <v>3920</v>
      </c>
      <c r="C690" t="s">
        <v>3249</v>
      </c>
      <c r="F690" t="s">
        <v>1171</v>
      </c>
    </row>
    <row r="691" spans="1:6" x14ac:dyDescent="0.25">
      <c r="A691" t="s">
        <v>3921</v>
      </c>
      <c r="C691" t="s">
        <v>3250</v>
      </c>
      <c r="F691" t="s">
        <v>1172</v>
      </c>
    </row>
    <row r="692" spans="1:6" x14ac:dyDescent="0.25">
      <c r="A692" t="s">
        <v>3922</v>
      </c>
      <c r="C692" t="s">
        <v>3251</v>
      </c>
      <c r="F692" t="s">
        <v>1173</v>
      </c>
    </row>
    <row r="693" spans="1:6" x14ac:dyDescent="0.25">
      <c r="A693" t="s">
        <v>3923</v>
      </c>
      <c r="C693" t="s">
        <v>3252</v>
      </c>
      <c r="F693" t="s">
        <v>1174</v>
      </c>
    </row>
    <row r="694" spans="1:6" x14ac:dyDescent="0.25">
      <c r="A694" t="s">
        <v>2351</v>
      </c>
      <c r="C694" t="s">
        <v>3253</v>
      </c>
      <c r="F694" t="s">
        <v>1175</v>
      </c>
    </row>
    <row r="695" spans="1:6" x14ac:dyDescent="0.25">
      <c r="A695" t="s">
        <v>3924</v>
      </c>
      <c r="C695" t="s">
        <v>3254</v>
      </c>
      <c r="F695" t="s">
        <v>1176</v>
      </c>
    </row>
    <row r="696" spans="1:6" x14ac:dyDescent="0.25">
      <c r="A696" t="s">
        <v>3925</v>
      </c>
      <c r="C696" t="s">
        <v>3255</v>
      </c>
      <c r="F696" t="s">
        <v>1177</v>
      </c>
    </row>
    <row r="697" spans="1:6" x14ac:dyDescent="0.25">
      <c r="A697" t="s">
        <v>3926</v>
      </c>
      <c r="C697" t="s">
        <v>3256</v>
      </c>
      <c r="F697" t="s">
        <v>1178</v>
      </c>
    </row>
    <row r="698" spans="1:6" x14ac:dyDescent="0.25">
      <c r="A698" t="s">
        <v>3927</v>
      </c>
      <c r="C698" t="s">
        <v>3257</v>
      </c>
      <c r="F698" t="s">
        <v>1179</v>
      </c>
    </row>
    <row r="699" spans="1:6" x14ac:dyDescent="0.25">
      <c r="A699" t="s">
        <v>3928</v>
      </c>
      <c r="C699" t="s">
        <v>3258</v>
      </c>
      <c r="F699" t="s">
        <v>1180</v>
      </c>
    </row>
    <row r="700" spans="1:6" x14ac:dyDescent="0.25">
      <c r="A700" t="s">
        <v>12</v>
      </c>
      <c r="C700" t="s">
        <v>3259</v>
      </c>
      <c r="F700" t="s">
        <v>1181</v>
      </c>
    </row>
    <row r="701" spans="1:6" x14ac:dyDescent="0.25">
      <c r="A701" t="s">
        <v>3929</v>
      </c>
      <c r="C701" t="s">
        <v>3260</v>
      </c>
      <c r="F701" t="s">
        <v>1182</v>
      </c>
    </row>
    <row r="702" spans="1:6" x14ac:dyDescent="0.25">
      <c r="A702" t="s">
        <v>82</v>
      </c>
      <c r="C702" t="s">
        <v>3261</v>
      </c>
      <c r="F702" t="s">
        <v>1183</v>
      </c>
    </row>
    <row r="703" spans="1:6" x14ac:dyDescent="0.25">
      <c r="A703" t="s">
        <v>3930</v>
      </c>
      <c r="C703" t="s">
        <v>3262</v>
      </c>
      <c r="F703" t="s">
        <v>1184</v>
      </c>
    </row>
    <row r="704" spans="1:6" x14ac:dyDescent="0.25">
      <c r="A704" t="s">
        <v>1383</v>
      </c>
      <c r="C704" t="s">
        <v>3263</v>
      </c>
      <c r="F704" t="s">
        <v>1185</v>
      </c>
    </row>
    <row r="705" spans="1:6" x14ac:dyDescent="0.25">
      <c r="A705" t="s">
        <v>433</v>
      </c>
      <c r="C705" t="s">
        <v>3264</v>
      </c>
      <c r="F705" t="s">
        <v>1186</v>
      </c>
    </row>
    <row r="706" spans="1:6" x14ac:dyDescent="0.25">
      <c r="A706" t="s">
        <v>3931</v>
      </c>
      <c r="C706" t="s">
        <v>3265</v>
      </c>
      <c r="F706" t="s">
        <v>1187</v>
      </c>
    </row>
    <row r="707" spans="1:6" x14ac:dyDescent="0.25">
      <c r="A707" t="s">
        <v>3932</v>
      </c>
      <c r="C707" t="s">
        <v>3266</v>
      </c>
      <c r="F707" t="s">
        <v>1188</v>
      </c>
    </row>
    <row r="708" spans="1:6" x14ac:dyDescent="0.25">
      <c r="A708" t="s">
        <v>154</v>
      </c>
      <c r="C708" t="s">
        <v>3267</v>
      </c>
      <c r="F708" t="s">
        <v>1189</v>
      </c>
    </row>
    <row r="709" spans="1:6" x14ac:dyDescent="0.25">
      <c r="A709" t="s">
        <v>51</v>
      </c>
      <c r="C709" t="s">
        <v>958</v>
      </c>
      <c r="F709" t="s">
        <v>1190</v>
      </c>
    </row>
    <row r="710" spans="1:6" x14ac:dyDescent="0.25">
      <c r="A710" t="s">
        <v>3933</v>
      </c>
      <c r="C710" t="s">
        <v>3268</v>
      </c>
      <c r="F710" t="s">
        <v>954</v>
      </c>
    </row>
    <row r="711" spans="1:6" x14ac:dyDescent="0.25">
      <c r="A711" t="s">
        <v>2328</v>
      </c>
      <c r="C711" t="s">
        <v>1575</v>
      </c>
      <c r="F711" t="s">
        <v>1191</v>
      </c>
    </row>
    <row r="712" spans="1:6" x14ac:dyDescent="0.25">
      <c r="A712" t="s">
        <v>3934</v>
      </c>
      <c r="C712" t="s">
        <v>3269</v>
      </c>
      <c r="F712" t="s">
        <v>1192</v>
      </c>
    </row>
    <row r="713" spans="1:6" x14ac:dyDescent="0.25">
      <c r="A713" t="s">
        <v>3935</v>
      </c>
      <c r="C713" t="s">
        <v>3270</v>
      </c>
      <c r="F713" t="s">
        <v>1193</v>
      </c>
    </row>
    <row r="714" spans="1:6" x14ac:dyDescent="0.25">
      <c r="A714" t="s">
        <v>3936</v>
      </c>
      <c r="C714" t="s">
        <v>939</v>
      </c>
      <c r="F714" t="s">
        <v>1194</v>
      </c>
    </row>
    <row r="715" spans="1:6" x14ac:dyDescent="0.25">
      <c r="A715" t="s">
        <v>3937</v>
      </c>
      <c r="C715" t="s">
        <v>3271</v>
      </c>
      <c r="F715" t="s">
        <v>1195</v>
      </c>
    </row>
    <row r="716" spans="1:6" x14ac:dyDescent="0.25">
      <c r="A716" t="s">
        <v>3938</v>
      </c>
      <c r="C716" t="s">
        <v>3272</v>
      </c>
      <c r="F716" t="s">
        <v>1196</v>
      </c>
    </row>
    <row r="717" spans="1:6" x14ac:dyDescent="0.25">
      <c r="A717" t="s">
        <v>3939</v>
      </c>
      <c r="C717" t="s">
        <v>3273</v>
      </c>
      <c r="F717" t="s">
        <v>1197</v>
      </c>
    </row>
    <row r="718" spans="1:6" x14ac:dyDescent="0.25">
      <c r="A718" t="s">
        <v>136</v>
      </c>
      <c r="C718" t="s">
        <v>3274</v>
      </c>
      <c r="F718" t="s">
        <v>1198</v>
      </c>
    </row>
    <row r="719" spans="1:6" x14ac:dyDescent="0.25">
      <c r="A719" t="s">
        <v>3940</v>
      </c>
      <c r="C719" t="s">
        <v>3275</v>
      </c>
      <c r="F719" t="s">
        <v>1199</v>
      </c>
    </row>
    <row r="720" spans="1:6" x14ac:dyDescent="0.25">
      <c r="A720" t="s">
        <v>3941</v>
      </c>
      <c r="C720" t="s">
        <v>3276</v>
      </c>
      <c r="F720" t="s">
        <v>1200</v>
      </c>
    </row>
    <row r="721" spans="1:6" x14ac:dyDescent="0.25">
      <c r="A721" t="s">
        <v>3942</v>
      </c>
      <c r="C721" t="s">
        <v>3277</v>
      </c>
      <c r="F721" t="s">
        <v>1201</v>
      </c>
    </row>
    <row r="722" spans="1:6" x14ac:dyDescent="0.25">
      <c r="A722" t="s">
        <v>23</v>
      </c>
      <c r="C722" t="s">
        <v>3278</v>
      </c>
      <c r="F722" t="s">
        <v>1202</v>
      </c>
    </row>
    <row r="723" spans="1:6" x14ac:dyDescent="0.25">
      <c r="A723" t="s">
        <v>3943</v>
      </c>
      <c r="C723" t="s">
        <v>3279</v>
      </c>
      <c r="F723" t="s">
        <v>1203</v>
      </c>
    </row>
    <row r="724" spans="1:6" x14ac:dyDescent="0.25">
      <c r="A724" t="s">
        <v>3944</v>
      </c>
      <c r="C724" t="s">
        <v>3280</v>
      </c>
      <c r="F724" t="s">
        <v>1204</v>
      </c>
    </row>
    <row r="725" spans="1:6" x14ac:dyDescent="0.25">
      <c r="A725" t="s">
        <v>118</v>
      </c>
      <c r="C725" t="s">
        <v>3281</v>
      </c>
      <c r="F725" t="s">
        <v>1205</v>
      </c>
    </row>
    <row r="726" spans="1:6" x14ac:dyDescent="0.25">
      <c r="A726" t="s">
        <v>1839</v>
      </c>
      <c r="C726" t="s">
        <v>3282</v>
      </c>
      <c r="F726" t="s">
        <v>1206</v>
      </c>
    </row>
    <row r="727" spans="1:6" x14ac:dyDescent="0.25">
      <c r="A727" t="s">
        <v>3945</v>
      </c>
      <c r="C727" t="s">
        <v>3283</v>
      </c>
      <c r="F727" t="s">
        <v>1207</v>
      </c>
    </row>
    <row r="728" spans="1:6" x14ac:dyDescent="0.25">
      <c r="A728" t="s">
        <v>3946</v>
      </c>
      <c r="C728" t="s">
        <v>3284</v>
      </c>
      <c r="F728" t="s">
        <v>1208</v>
      </c>
    </row>
    <row r="729" spans="1:6" x14ac:dyDescent="0.25">
      <c r="A729" t="s">
        <v>3947</v>
      </c>
      <c r="C729" t="s">
        <v>3285</v>
      </c>
      <c r="F729" t="s">
        <v>1209</v>
      </c>
    </row>
    <row r="730" spans="1:6" x14ac:dyDescent="0.25">
      <c r="A730" t="s">
        <v>3948</v>
      </c>
      <c r="C730" t="s">
        <v>3286</v>
      </c>
      <c r="F730" t="s">
        <v>1210</v>
      </c>
    </row>
    <row r="731" spans="1:6" x14ac:dyDescent="0.25">
      <c r="A731" t="s">
        <v>1588</v>
      </c>
      <c r="C731" t="s">
        <v>3287</v>
      </c>
      <c r="F731" t="s">
        <v>1211</v>
      </c>
    </row>
    <row r="732" spans="1:6" x14ac:dyDescent="0.25">
      <c r="A732" t="s">
        <v>3949</v>
      </c>
      <c r="C732" t="s">
        <v>3288</v>
      </c>
      <c r="F732" t="s">
        <v>1212</v>
      </c>
    </row>
    <row r="733" spans="1:6" x14ac:dyDescent="0.25">
      <c r="A733" t="s">
        <v>3950</v>
      </c>
      <c r="C733" t="s">
        <v>3289</v>
      </c>
      <c r="F733" t="s">
        <v>1213</v>
      </c>
    </row>
    <row r="734" spans="1:6" x14ac:dyDescent="0.25">
      <c r="A734" t="s">
        <v>3951</v>
      </c>
      <c r="C734" t="s">
        <v>3290</v>
      </c>
      <c r="F734" t="s">
        <v>1214</v>
      </c>
    </row>
    <row r="735" spans="1:6" x14ac:dyDescent="0.25">
      <c r="A735" t="s">
        <v>70</v>
      </c>
      <c r="C735" t="s">
        <v>3291</v>
      </c>
      <c r="F735" t="s">
        <v>120</v>
      </c>
    </row>
    <row r="736" spans="1:6" x14ac:dyDescent="0.25">
      <c r="A736" t="s">
        <v>3952</v>
      </c>
      <c r="C736" t="s">
        <v>3292</v>
      </c>
      <c r="F736" t="s">
        <v>1215</v>
      </c>
    </row>
    <row r="737" spans="1:6" x14ac:dyDescent="0.25">
      <c r="A737" t="s">
        <v>1685</v>
      </c>
      <c r="C737" t="s">
        <v>3293</v>
      </c>
      <c r="F737" t="s">
        <v>1216</v>
      </c>
    </row>
    <row r="738" spans="1:6" x14ac:dyDescent="0.25">
      <c r="A738" t="s">
        <v>3953</v>
      </c>
      <c r="C738" t="s">
        <v>3294</v>
      </c>
      <c r="F738" t="s">
        <v>1217</v>
      </c>
    </row>
    <row r="739" spans="1:6" x14ac:dyDescent="0.25">
      <c r="A739" t="s">
        <v>3954</v>
      </c>
      <c r="C739" t="s">
        <v>3295</v>
      </c>
      <c r="F739" t="s">
        <v>1218</v>
      </c>
    </row>
    <row r="740" spans="1:6" x14ac:dyDescent="0.25">
      <c r="A740" t="s">
        <v>2775</v>
      </c>
      <c r="C740" t="s">
        <v>3296</v>
      </c>
      <c r="F740" t="s">
        <v>1219</v>
      </c>
    </row>
    <row r="741" spans="1:6" x14ac:dyDescent="0.25">
      <c r="A741" t="s">
        <v>3955</v>
      </c>
      <c r="C741" t="s">
        <v>979</v>
      </c>
      <c r="F741" t="s">
        <v>1220</v>
      </c>
    </row>
    <row r="742" spans="1:6" x14ac:dyDescent="0.25">
      <c r="A742" t="s">
        <v>478</v>
      </c>
      <c r="C742" t="s">
        <v>1030</v>
      </c>
      <c r="F742" t="s">
        <v>3</v>
      </c>
    </row>
    <row r="743" spans="1:6" x14ac:dyDescent="0.25">
      <c r="A743" t="s">
        <v>3956</v>
      </c>
      <c r="C743" t="s">
        <v>3297</v>
      </c>
      <c r="F743" t="s">
        <v>1221</v>
      </c>
    </row>
    <row r="744" spans="1:6" x14ac:dyDescent="0.25">
      <c r="A744" t="s">
        <v>3957</v>
      </c>
      <c r="C744" t="s">
        <v>3298</v>
      </c>
      <c r="F744" t="s">
        <v>1222</v>
      </c>
    </row>
    <row r="745" spans="1:6" x14ac:dyDescent="0.25">
      <c r="A745" t="s">
        <v>3958</v>
      </c>
      <c r="C745" t="s">
        <v>2695</v>
      </c>
      <c r="F745" t="s">
        <v>1223</v>
      </c>
    </row>
    <row r="746" spans="1:6" x14ac:dyDescent="0.25">
      <c r="A746" t="s">
        <v>3959</v>
      </c>
      <c r="C746" t="s">
        <v>940</v>
      </c>
      <c r="F746" t="s">
        <v>1224</v>
      </c>
    </row>
    <row r="747" spans="1:6" x14ac:dyDescent="0.25">
      <c r="A747" t="s">
        <v>3960</v>
      </c>
      <c r="C747" t="s">
        <v>3299</v>
      </c>
      <c r="F747" t="s">
        <v>1225</v>
      </c>
    </row>
    <row r="748" spans="1:6" x14ac:dyDescent="0.25">
      <c r="A748" t="s">
        <v>3961</v>
      </c>
      <c r="C748" t="s">
        <v>3300</v>
      </c>
      <c r="F748" t="s">
        <v>1226</v>
      </c>
    </row>
    <row r="749" spans="1:6" x14ac:dyDescent="0.25">
      <c r="A749" t="s">
        <v>3962</v>
      </c>
      <c r="C749" t="s">
        <v>3301</v>
      </c>
      <c r="F749" t="s">
        <v>1227</v>
      </c>
    </row>
    <row r="750" spans="1:6" x14ac:dyDescent="0.25">
      <c r="A750" t="s">
        <v>3963</v>
      </c>
      <c r="C750" t="s">
        <v>3302</v>
      </c>
      <c r="F750" t="s">
        <v>1228</v>
      </c>
    </row>
    <row r="751" spans="1:6" x14ac:dyDescent="0.25">
      <c r="A751" t="s">
        <v>3964</v>
      </c>
      <c r="C751" t="s">
        <v>3303</v>
      </c>
      <c r="F751" t="s">
        <v>1229</v>
      </c>
    </row>
    <row r="752" spans="1:6" x14ac:dyDescent="0.25">
      <c r="A752" t="s">
        <v>3965</v>
      </c>
      <c r="C752" t="s">
        <v>3304</v>
      </c>
      <c r="F752" t="s">
        <v>1230</v>
      </c>
    </row>
    <row r="753" spans="1:6" x14ac:dyDescent="0.25">
      <c r="A753" t="s">
        <v>910</v>
      </c>
      <c r="C753" t="s">
        <v>3305</v>
      </c>
      <c r="F753" t="s">
        <v>1231</v>
      </c>
    </row>
    <row r="754" spans="1:6" x14ac:dyDescent="0.25">
      <c r="A754" t="s">
        <v>3966</v>
      </c>
      <c r="C754" t="s">
        <v>3306</v>
      </c>
      <c r="F754" t="s">
        <v>1232</v>
      </c>
    </row>
    <row r="755" spans="1:6" x14ac:dyDescent="0.25">
      <c r="A755" t="s">
        <v>3967</v>
      </c>
      <c r="C755" t="s">
        <v>3307</v>
      </c>
      <c r="F755" t="s">
        <v>1233</v>
      </c>
    </row>
    <row r="756" spans="1:6" x14ac:dyDescent="0.25">
      <c r="A756" t="s">
        <v>3968</v>
      </c>
      <c r="C756" t="s">
        <v>3308</v>
      </c>
      <c r="F756" t="s">
        <v>1234</v>
      </c>
    </row>
    <row r="757" spans="1:6" x14ac:dyDescent="0.25">
      <c r="A757" t="s">
        <v>3969</v>
      </c>
      <c r="C757" t="s">
        <v>3309</v>
      </c>
      <c r="F757" t="s">
        <v>1235</v>
      </c>
    </row>
    <row r="758" spans="1:6" x14ac:dyDescent="0.25">
      <c r="A758" t="s">
        <v>3970</v>
      </c>
      <c r="C758" t="s">
        <v>3310</v>
      </c>
      <c r="F758" t="s">
        <v>1236</v>
      </c>
    </row>
    <row r="759" spans="1:6" x14ac:dyDescent="0.25">
      <c r="A759" t="s">
        <v>881</v>
      </c>
      <c r="C759" t="s">
        <v>3311</v>
      </c>
      <c r="F759" t="s">
        <v>1237</v>
      </c>
    </row>
    <row r="760" spans="1:6" x14ac:dyDescent="0.25">
      <c r="A760" t="s">
        <v>235</v>
      </c>
      <c r="C760" t="s">
        <v>3312</v>
      </c>
      <c r="F760" t="s">
        <v>1238</v>
      </c>
    </row>
    <row r="761" spans="1:6" x14ac:dyDescent="0.25">
      <c r="A761" t="s">
        <v>3971</v>
      </c>
      <c r="C761" t="s">
        <v>3313</v>
      </c>
      <c r="F761" t="s">
        <v>1239</v>
      </c>
    </row>
    <row r="762" spans="1:6" x14ac:dyDescent="0.25">
      <c r="A762" t="s">
        <v>3972</v>
      </c>
      <c r="C762" t="s">
        <v>3314</v>
      </c>
      <c r="F762" t="s">
        <v>1240</v>
      </c>
    </row>
    <row r="763" spans="1:6" x14ac:dyDescent="0.25">
      <c r="A763" t="s">
        <v>2165</v>
      </c>
      <c r="C763" t="s">
        <v>3315</v>
      </c>
      <c r="F763" t="s">
        <v>230</v>
      </c>
    </row>
    <row r="764" spans="1:6" x14ac:dyDescent="0.25">
      <c r="A764" t="s">
        <v>1202</v>
      </c>
      <c r="C764" t="s">
        <v>3316</v>
      </c>
      <c r="F764" t="s">
        <v>1241</v>
      </c>
    </row>
    <row r="765" spans="1:6" x14ac:dyDescent="0.25">
      <c r="A765" t="s">
        <v>3973</v>
      </c>
      <c r="C765" t="s">
        <v>3317</v>
      </c>
      <c r="F765" t="s">
        <v>1242</v>
      </c>
    </row>
    <row r="766" spans="1:6" x14ac:dyDescent="0.25">
      <c r="A766" t="s">
        <v>2661</v>
      </c>
      <c r="C766" t="s">
        <v>3318</v>
      </c>
      <c r="F766" t="s">
        <v>1243</v>
      </c>
    </row>
    <row r="767" spans="1:6" x14ac:dyDescent="0.25">
      <c r="A767" t="s">
        <v>2194</v>
      </c>
      <c r="C767" t="s">
        <v>3319</v>
      </c>
      <c r="F767" t="s">
        <v>1244</v>
      </c>
    </row>
    <row r="768" spans="1:6" x14ac:dyDescent="0.25">
      <c r="A768" t="s">
        <v>3974</v>
      </c>
      <c r="C768" t="s">
        <v>3320</v>
      </c>
      <c r="F768" t="s">
        <v>1245</v>
      </c>
    </row>
    <row r="769" spans="1:6" x14ac:dyDescent="0.25">
      <c r="A769" t="s">
        <v>3975</v>
      </c>
      <c r="C769" t="s">
        <v>3321</v>
      </c>
      <c r="F769" t="s">
        <v>136</v>
      </c>
    </row>
    <row r="770" spans="1:6" x14ac:dyDescent="0.25">
      <c r="A770" t="s">
        <v>2550</v>
      </c>
      <c r="C770" t="s">
        <v>3322</v>
      </c>
      <c r="F770" t="s">
        <v>1246</v>
      </c>
    </row>
    <row r="771" spans="1:6" x14ac:dyDescent="0.25">
      <c r="A771" t="s">
        <v>1118</v>
      </c>
      <c r="C771" t="s">
        <v>3323</v>
      </c>
      <c r="F771" t="s">
        <v>1247</v>
      </c>
    </row>
    <row r="772" spans="1:6" x14ac:dyDescent="0.25">
      <c r="A772" t="s">
        <v>1800</v>
      </c>
      <c r="C772" t="s">
        <v>3324</v>
      </c>
      <c r="F772" t="s">
        <v>1248</v>
      </c>
    </row>
    <row r="773" spans="1:6" x14ac:dyDescent="0.25">
      <c r="A773" t="s">
        <v>1299</v>
      </c>
      <c r="C773" t="s">
        <v>3325</v>
      </c>
      <c r="F773" t="s">
        <v>1249</v>
      </c>
    </row>
    <row r="774" spans="1:6" x14ac:dyDescent="0.25">
      <c r="A774" t="s">
        <v>2810</v>
      </c>
      <c r="C774" t="s">
        <v>3326</v>
      </c>
      <c r="F774" t="s">
        <v>1250</v>
      </c>
    </row>
    <row r="775" spans="1:6" x14ac:dyDescent="0.25">
      <c r="A775" t="s">
        <v>1411</v>
      </c>
      <c r="C775" t="s">
        <v>3327</v>
      </c>
      <c r="F775" t="s">
        <v>1251</v>
      </c>
    </row>
    <row r="776" spans="1:6" x14ac:dyDescent="0.25">
      <c r="A776" t="s">
        <v>3976</v>
      </c>
      <c r="C776" t="s">
        <v>3328</v>
      </c>
      <c r="F776" t="s">
        <v>1252</v>
      </c>
    </row>
    <row r="777" spans="1:6" x14ac:dyDescent="0.25">
      <c r="A777" t="s">
        <v>3977</v>
      </c>
      <c r="C777" t="s">
        <v>3329</v>
      </c>
      <c r="F777" t="s">
        <v>1253</v>
      </c>
    </row>
    <row r="778" spans="1:6" x14ac:dyDescent="0.25">
      <c r="A778" t="s">
        <v>3978</v>
      </c>
      <c r="C778" t="s">
        <v>3330</v>
      </c>
      <c r="F778" t="s">
        <v>1254</v>
      </c>
    </row>
    <row r="779" spans="1:6" x14ac:dyDescent="0.25">
      <c r="A779" t="s">
        <v>128</v>
      </c>
      <c r="C779" t="s">
        <v>3331</v>
      </c>
      <c r="F779" t="s">
        <v>1255</v>
      </c>
    </row>
    <row r="780" spans="1:6" x14ac:dyDescent="0.25">
      <c r="A780" t="s">
        <v>3979</v>
      </c>
      <c r="C780" t="s">
        <v>3332</v>
      </c>
      <c r="F780" t="s">
        <v>1256</v>
      </c>
    </row>
    <row r="781" spans="1:6" x14ac:dyDescent="0.25">
      <c r="A781" t="s">
        <v>3980</v>
      </c>
      <c r="C781" t="s">
        <v>3333</v>
      </c>
      <c r="F781" t="s">
        <v>1257</v>
      </c>
    </row>
    <row r="782" spans="1:6" x14ac:dyDescent="0.25">
      <c r="A782" t="s">
        <v>3981</v>
      </c>
      <c r="C782" t="s">
        <v>3334</v>
      </c>
      <c r="F782" t="s">
        <v>1258</v>
      </c>
    </row>
    <row r="783" spans="1:6" x14ac:dyDescent="0.25">
      <c r="A783" t="s">
        <v>3982</v>
      </c>
      <c r="C783" t="s">
        <v>3335</v>
      </c>
      <c r="F783" t="s">
        <v>139</v>
      </c>
    </row>
    <row r="784" spans="1:6" x14ac:dyDescent="0.25">
      <c r="A784" t="s">
        <v>3983</v>
      </c>
      <c r="C784" t="s">
        <v>3336</v>
      </c>
      <c r="F784" t="s">
        <v>1259</v>
      </c>
    </row>
    <row r="785" spans="1:6" x14ac:dyDescent="0.25">
      <c r="A785" t="s">
        <v>3984</v>
      </c>
      <c r="C785" t="s">
        <v>3337</v>
      </c>
      <c r="F785" t="s">
        <v>1260</v>
      </c>
    </row>
    <row r="786" spans="1:6" x14ac:dyDescent="0.25">
      <c r="A786" t="s">
        <v>2158</v>
      </c>
      <c r="C786" t="s">
        <v>3338</v>
      </c>
      <c r="F786" t="s">
        <v>1261</v>
      </c>
    </row>
    <row r="787" spans="1:6" x14ac:dyDescent="0.25">
      <c r="A787" t="s">
        <v>439</v>
      </c>
      <c r="C787" t="s">
        <v>3339</v>
      </c>
      <c r="F787" t="s">
        <v>1262</v>
      </c>
    </row>
    <row r="788" spans="1:6" x14ac:dyDescent="0.25">
      <c r="A788" t="s">
        <v>1434</v>
      </c>
      <c r="C788" t="s">
        <v>3340</v>
      </c>
      <c r="F788" t="s">
        <v>1263</v>
      </c>
    </row>
    <row r="789" spans="1:6" x14ac:dyDescent="0.25">
      <c r="A789" t="s">
        <v>3985</v>
      </c>
      <c r="C789" t="s">
        <v>3341</v>
      </c>
      <c r="F789" t="s">
        <v>1264</v>
      </c>
    </row>
    <row r="790" spans="1:6" x14ac:dyDescent="0.25">
      <c r="A790" t="s">
        <v>69</v>
      </c>
      <c r="C790" t="s">
        <v>3342</v>
      </c>
      <c r="F790" t="s">
        <v>1265</v>
      </c>
    </row>
    <row r="791" spans="1:6" x14ac:dyDescent="0.25">
      <c r="A791" t="s">
        <v>1179</v>
      </c>
      <c r="C791" t="s">
        <v>3343</v>
      </c>
      <c r="F791" t="s">
        <v>1266</v>
      </c>
    </row>
    <row r="792" spans="1:6" x14ac:dyDescent="0.25">
      <c r="A792" t="s">
        <v>3986</v>
      </c>
      <c r="C792" t="s">
        <v>3344</v>
      </c>
      <c r="F792" t="s">
        <v>1267</v>
      </c>
    </row>
    <row r="793" spans="1:6" x14ac:dyDescent="0.25">
      <c r="A793" t="s">
        <v>3987</v>
      </c>
      <c r="C793" t="s">
        <v>980</v>
      </c>
      <c r="F793" t="s">
        <v>1268</v>
      </c>
    </row>
    <row r="794" spans="1:6" x14ac:dyDescent="0.25">
      <c r="A794" t="s">
        <v>3988</v>
      </c>
      <c r="C794" t="s">
        <v>3345</v>
      </c>
      <c r="F794" t="s">
        <v>1269</v>
      </c>
    </row>
    <row r="795" spans="1:6" x14ac:dyDescent="0.25">
      <c r="A795" t="s">
        <v>330</v>
      </c>
      <c r="C795" t="s">
        <v>3346</v>
      </c>
      <c r="F795" t="s">
        <v>1270</v>
      </c>
    </row>
    <row r="796" spans="1:6" x14ac:dyDescent="0.25">
      <c r="A796" t="s">
        <v>2636</v>
      </c>
      <c r="C796" t="s">
        <v>3347</v>
      </c>
      <c r="F796" t="s">
        <v>1271</v>
      </c>
    </row>
    <row r="797" spans="1:6" x14ac:dyDescent="0.25">
      <c r="A797" t="s">
        <v>100</v>
      </c>
      <c r="C797" t="s">
        <v>3348</v>
      </c>
      <c r="F797" t="s">
        <v>15</v>
      </c>
    </row>
    <row r="798" spans="1:6" x14ac:dyDescent="0.25">
      <c r="A798" t="s">
        <v>3989</v>
      </c>
      <c r="C798" t="s">
        <v>3349</v>
      </c>
      <c r="F798" t="s">
        <v>1272</v>
      </c>
    </row>
    <row r="799" spans="1:6" x14ac:dyDescent="0.25">
      <c r="A799" t="s">
        <v>743</v>
      </c>
      <c r="C799" t="s">
        <v>3350</v>
      </c>
      <c r="F799" t="s">
        <v>1273</v>
      </c>
    </row>
    <row r="800" spans="1:6" x14ac:dyDescent="0.25">
      <c r="A800" t="s">
        <v>94</v>
      </c>
      <c r="C800" t="s">
        <v>3351</v>
      </c>
      <c r="F800" t="s">
        <v>1274</v>
      </c>
    </row>
    <row r="801" spans="1:6" x14ac:dyDescent="0.25">
      <c r="A801" t="s">
        <v>3990</v>
      </c>
      <c r="C801" t="s">
        <v>3352</v>
      </c>
      <c r="F801" t="s">
        <v>1275</v>
      </c>
    </row>
    <row r="802" spans="1:6" x14ac:dyDescent="0.25">
      <c r="A802" t="s">
        <v>3991</v>
      </c>
      <c r="C802" t="s">
        <v>3353</v>
      </c>
      <c r="F802" t="s">
        <v>1276</v>
      </c>
    </row>
    <row r="803" spans="1:6" x14ac:dyDescent="0.25">
      <c r="A803" t="s">
        <v>3992</v>
      </c>
      <c r="C803" t="s">
        <v>3354</v>
      </c>
      <c r="F803" t="s">
        <v>1277</v>
      </c>
    </row>
    <row r="804" spans="1:6" x14ac:dyDescent="0.25">
      <c r="A804" t="s">
        <v>3993</v>
      </c>
      <c r="C804" t="s">
        <v>3355</v>
      </c>
      <c r="F804" t="s">
        <v>1278</v>
      </c>
    </row>
    <row r="805" spans="1:6" x14ac:dyDescent="0.25">
      <c r="A805" t="s">
        <v>3994</v>
      </c>
      <c r="C805" t="s">
        <v>3356</v>
      </c>
      <c r="F805" t="s">
        <v>1279</v>
      </c>
    </row>
    <row r="806" spans="1:6" x14ac:dyDescent="0.25">
      <c r="A806" t="s">
        <v>3995</v>
      </c>
      <c r="C806" t="s">
        <v>3357</v>
      </c>
      <c r="F806" t="s">
        <v>1280</v>
      </c>
    </row>
    <row r="807" spans="1:6" x14ac:dyDescent="0.25">
      <c r="A807" t="s">
        <v>1169</v>
      </c>
      <c r="C807" t="s">
        <v>3358</v>
      </c>
      <c r="F807" t="s">
        <v>1281</v>
      </c>
    </row>
    <row r="808" spans="1:6" x14ac:dyDescent="0.25">
      <c r="A808" t="s">
        <v>3996</v>
      </c>
      <c r="C808" t="s">
        <v>3359</v>
      </c>
      <c r="F808" t="s">
        <v>984</v>
      </c>
    </row>
    <row r="809" spans="1:6" x14ac:dyDescent="0.25">
      <c r="A809" t="s">
        <v>2290</v>
      </c>
      <c r="C809" t="s">
        <v>3360</v>
      </c>
      <c r="F809" t="s">
        <v>1282</v>
      </c>
    </row>
    <row r="810" spans="1:6" x14ac:dyDescent="0.25">
      <c r="A810" t="s">
        <v>62</v>
      </c>
      <c r="C810" t="s">
        <v>3361</v>
      </c>
      <c r="F810" t="s">
        <v>128</v>
      </c>
    </row>
    <row r="811" spans="1:6" x14ac:dyDescent="0.25">
      <c r="A811" t="s">
        <v>498</v>
      </c>
      <c r="C811" t="s">
        <v>3362</v>
      </c>
      <c r="F811" t="s">
        <v>1283</v>
      </c>
    </row>
    <row r="812" spans="1:6" x14ac:dyDescent="0.25">
      <c r="A812" t="s">
        <v>3997</v>
      </c>
      <c r="C812" t="s">
        <v>3363</v>
      </c>
      <c r="F812" t="s">
        <v>1284</v>
      </c>
    </row>
    <row r="813" spans="1:6" x14ac:dyDescent="0.25">
      <c r="A813" t="s">
        <v>3998</v>
      </c>
      <c r="C813" t="s">
        <v>3364</v>
      </c>
      <c r="F813" t="s">
        <v>1285</v>
      </c>
    </row>
    <row r="814" spans="1:6" x14ac:dyDescent="0.25">
      <c r="A814" t="s">
        <v>3999</v>
      </c>
      <c r="C814" t="s">
        <v>3365</v>
      </c>
      <c r="F814" t="s">
        <v>1286</v>
      </c>
    </row>
    <row r="815" spans="1:6" x14ac:dyDescent="0.25">
      <c r="A815" t="s">
        <v>2430</v>
      </c>
      <c r="C815" t="s">
        <v>3366</v>
      </c>
      <c r="F815" t="s">
        <v>24</v>
      </c>
    </row>
    <row r="816" spans="1:6" x14ac:dyDescent="0.25">
      <c r="A816" t="s">
        <v>4000</v>
      </c>
      <c r="C816" t="s">
        <v>3367</v>
      </c>
      <c r="F816" t="s">
        <v>1287</v>
      </c>
    </row>
    <row r="817" spans="1:6" x14ac:dyDescent="0.25">
      <c r="A817" t="s">
        <v>4001</v>
      </c>
      <c r="C817" t="s">
        <v>3368</v>
      </c>
      <c r="F817" t="s">
        <v>1288</v>
      </c>
    </row>
    <row r="818" spans="1:6" x14ac:dyDescent="0.25">
      <c r="A818" t="s">
        <v>4002</v>
      </c>
      <c r="C818" t="s">
        <v>3369</v>
      </c>
      <c r="F818" t="s">
        <v>1289</v>
      </c>
    </row>
    <row r="819" spans="1:6" x14ac:dyDescent="0.25">
      <c r="A819" t="s">
        <v>1607</v>
      </c>
      <c r="C819" t="s">
        <v>3370</v>
      </c>
      <c r="F819" t="s">
        <v>1290</v>
      </c>
    </row>
    <row r="820" spans="1:6" x14ac:dyDescent="0.25">
      <c r="A820" t="s">
        <v>4003</v>
      </c>
      <c r="C820" t="s">
        <v>3371</v>
      </c>
      <c r="F820" t="s">
        <v>1291</v>
      </c>
    </row>
    <row r="821" spans="1:6" x14ac:dyDescent="0.25">
      <c r="A821" t="s">
        <v>4004</v>
      </c>
      <c r="C821" t="s">
        <v>3372</v>
      </c>
      <c r="F821" t="s">
        <v>1292</v>
      </c>
    </row>
    <row r="822" spans="1:6" x14ac:dyDescent="0.25">
      <c r="A822" t="s">
        <v>4005</v>
      </c>
      <c r="C822" t="s">
        <v>3373</v>
      </c>
      <c r="F822" t="s">
        <v>1293</v>
      </c>
    </row>
    <row r="823" spans="1:6" x14ac:dyDescent="0.25">
      <c r="A823" t="s">
        <v>2465</v>
      </c>
      <c r="C823" t="s">
        <v>900</v>
      </c>
      <c r="F823" t="s">
        <v>1294</v>
      </c>
    </row>
    <row r="824" spans="1:6" x14ac:dyDescent="0.25">
      <c r="A824" t="s">
        <v>4006</v>
      </c>
      <c r="C824" t="s">
        <v>3374</v>
      </c>
      <c r="F824" t="s">
        <v>1295</v>
      </c>
    </row>
    <row r="825" spans="1:6" x14ac:dyDescent="0.25">
      <c r="A825" t="s">
        <v>4007</v>
      </c>
      <c r="C825" t="s">
        <v>3375</v>
      </c>
      <c r="F825" t="s">
        <v>1296</v>
      </c>
    </row>
    <row r="826" spans="1:6" x14ac:dyDescent="0.25">
      <c r="A826" t="s">
        <v>81</v>
      </c>
      <c r="C826" t="s">
        <v>3376</v>
      </c>
      <c r="F826" t="s">
        <v>1297</v>
      </c>
    </row>
    <row r="827" spans="1:6" x14ac:dyDescent="0.25">
      <c r="A827" t="s">
        <v>4008</v>
      </c>
      <c r="C827" t="s">
        <v>3377</v>
      </c>
      <c r="F827" t="s">
        <v>1298</v>
      </c>
    </row>
    <row r="828" spans="1:6" x14ac:dyDescent="0.25">
      <c r="A828" t="s">
        <v>4009</v>
      </c>
      <c r="C828" t="s">
        <v>3378</v>
      </c>
      <c r="F828" t="s">
        <v>1299</v>
      </c>
    </row>
    <row r="829" spans="1:6" x14ac:dyDescent="0.25">
      <c r="A829" t="s">
        <v>211</v>
      </c>
      <c r="C829" t="s">
        <v>117</v>
      </c>
      <c r="F829" t="s">
        <v>1300</v>
      </c>
    </row>
    <row r="830" spans="1:6" x14ac:dyDescent="0.25">
      <c r="A830" t="s">
        <v>85</v>
      </c>
      <c r="C830" t="s">
        <v>3379</v>
      </c>
      <c r="F830" t="s">
        <v>1301</v>
      </c>
    </row>
    <row r="831" spans="1:6" x14ac:dyDescent="0.25">
      <c r="A831" t="s">
        <v>4010</v>
      </c>
      <c r="C831" t="s">
        <v>3380</v>
      </c>
      <c r="F831" t="s">
        <v>1302</v>
      </c>
    </row>
    <row r="832" spans="1:6" x14ac:dyDescent="0.25">
      <c r="A832" t="s">
        <v>2649</v>
      </c>
      <c r="C832" t="s">
        <v>3381</v>
      </c>
      <c r="F832" t="s">
        <v>1303</v>
      </c>
    </row>
    <row r="833" spans="1:6" x14ac:dyDescent="0.25">
      <c r="A833" t="s">
        <v>4011</v>
      </c>
      <c r="C833" t="s">
        <v>3382</v>
      </c>
      <c r="F833" t="s">
        <v>1304</v>
      </c>
    </row>
    <row r="834" spans="1:6" x14ac:dyDescent="0.25">
      <c r="A834" t="s">
        <v>4012</v>
      </c>
      <c r="C834" t="s">
        <v>3383</v>
      </c>
      <c r="F834" t="s">
        <v>1305</v>
      </c>
    </row>
    <row r="835" spans="1:6" x14ac:dyDescent="0.25">
      <c r="A835" t="s">
        <v>1740</v>
      </c>
      <c r="C835" t="s">
        <v>3384</v>
      </c>
      <c r="F835" t="s">
        <v>1306</v>
      </c>
    </row>
    <row r="836" spans="1:6" x14ac:dyDescent="0.25">
      <c r="A836" t="s">
        <v>4013</v>
      </c>
      <c r="C836" t="s">
        <v>3385</v>
      </c>
      <c r="F836" t="s">
        <v>1307</v>
      </c>
    </row>
    <row r="837" spans="1:6" x14ac:dyDescent="0.25">
      <c r="A837" t="s">
        <v>219</v>
      </c>
      <c r="C837" t="s">
        <v>3386</v>
      </c>
      <c r="F837" t="s">
        <v>1308</v>
      </c>
    </row>
    <row r="838" spans="1:6" x14ac:dyDescent="0.25">
      <c r="A838" t="s">
        <v>612</v>
      </c>
      <c r="C838" t="s">
        <v>3387</v>
      </c>
      <c r="F838" t="s">
        <v>1309</v>
      </c>
    </row>
    <row r="839" spans="1:6" x14ac:dyDescent="0.25">
      <c r="A839" t="s">
        <v>4014</v>
      </c>
      <c r="C839" t="s">
        <v>3388</v>
      </c>
      <c r="F839" t="s">
        <v>1310</v>
      </c>
    </row>
    <row r="840" spans="1:6" x14ac:dyDescent="0.25">
      <c r="A840" t="s">
        <v>4015</v>
      </c>
      <c r="C840" t="s">
        <v>3389</v>
      </c>
      <c r="F840" t="s">
        <v>1311</v>
      </c>
    </row>
    <row r="841" spans="1:6" x14ac:dyDescent="0.25">
      <c r="A841" t="s">
        <v>4016</v>
      </c>
      <c r="C841" t="s">
        <v>3390</v>
      </c>
      <c r="F841" t="s">
        <v>1312</v>
      </c>
    </row>
    <row r="842" spans="1:6" x14ac:dyDescent="0.25">
      <c r="A842" t="s">
        <v>1173</v>
      </c>
      <c r="C842" t="s">
        <v>3391</v>
      </c>
      <c r="F842" t="s">
        <v>1313</v>
      </c>
    </row>
    <row r="843" spans="1:6" x14ac:dyDescent="0.25">
      <c r="A843" t="s">
        <v>4017</v>
      </c>
      <c r="C843" t="s">
        <v>2104</v>
      </c>
      <c r="F843" t="s">
        <v>1314</v>
      </c>
    </row>
    <row r="844" spans="1:6" x14ac:dyDescent="0.25">
      <c r="A844" t="s">
        <v>1324</v>
      </c>
      <c r="C844" t="s">
        <v>1104</v>
      </c>
      <c r="F844" t="s">
        <v>1315</v>
      </c>
    </row>
    <row r="845" spans="1:6" x14ac:dyDescent="0.25">
      <c r="A845" t="s">
        <v>13</v>
      </c>
      <c r="C845" t="s">
        <v>3392</v>
      </c>
      <c r="F845" t="s">
        <v>1316</v>
      </c>
    </row>
    <row r="846" spans="1:6" x14ac:dyDescent="0.25">
      <c r="A846" t="s">
        <v>4018</v>
      </c>
      <c r="C846" t="s">
        <v>3393</v>
      </c>
      <c r="F846" t="s">
        <v>1317</v>
      </c>
    </row>
    <row r="847" spans="1:6" x14ac:dyDescent="0.25">
      <c r="A847" t="s">
        <v>4019</v>
      </c>
      <c r="C847" t="s">
        <v>3394</v>
      </c>
      <c r="F847" t="s">
        <v>1318</v>
      </c>
    </row>
    <row r="848" spans="1:6" x14ac:dyDescent="0.25">
      <c r="A848" t="s">
        <v>4020</v>
      </c>
      <c r="C848" t="s">
        <v>3395</v>
      </c>
      <c r="F848" t="s">
        <v>1319</v>
      </c>
    </row>
    <row r="849" spans="1:6" x14ac:dyDescent="0.25">
      <c r="A849" t="s">
        <v>4021</v>
      </c>
      <c r="C849" t="s">
        <v>3396</v>
      </c>
      <c r="F849" t="s">
        <v>26</v>
      </c>
    </row>
    <row r="850" spans="1:6" x14ac:dyDescent="0.25">
      <c r="A850" t="s">
        <v>4022</v>
      </c>
      <c r="C850" t="s">
        <v>3397</v>
      </c>
      <c r="F850" t="s">
        <v>1320</v>
      </c>
    </row>
    <row r="851" spans="1:6" x14ac:dyDescent="0.25">
      <c r="A851" t="s">
        <v>2173</v>
      </c>
      <c r="C851" t="s">
        <v>3398</v>
      </c>
      <c r="F851" t="s">
        <v>1321</v>
      </c>
    </row>
    <row r="852" spans="1:6" x14ac:dyDescent="0.25">
      <c r="A852" t="s">
        <v>4023</v>
      </c>
      <c r="C852" t="s">
        <v>3399</v>
      </c>
      <c r="F852" t="s">
        <v>1322</v>
      </c>
    </row>
    <row r="853" spans="1:6" x14ac:dyDescent="0.25">
      <c r="A853" t="s">
        <v>4024</v>
      </c>
      <c r="C853" t="s">
        <v>3400</v>
      </c>
      <c r="F853" t="s">
        <v>1323</v>
      </c>
    </row>
    <row r="854" spans="1:6" x14ac:dyDescent="0.25">
      <c r="A854" t="s">
        <v>1143</v>
      </c>
      <c r="C854" t="s">
        <v>3401</v>
      </c>
      <c r="F854" t="s">
        <v>1324</v>
      </c>
    </row>
    <row r="855" spans="1:6" x14ac:dyDescent="0.25">
      <c r="A855" t="s">
        <v>1338</v>
      </c>
      <c r="C855" t="s">
        <v>3402</v>
      </c>
      <c r="F855" t="s">
        <v>1325</v>
      </c>
    </row>
    <row r="856" spans="1:6" x14ac:dyDescent="0.25">
      <c r="A856" t="s">
        <v>4025</v>
      </c>
      <c r="C856" t="s">
        <v>3403</v>
      </c>
      <c r="F856" t="s">
        <v>1326</v>
      </c>
    </row>
    <row r="857" spans="1:6" x14ac:dyDescent="0.25">
      <c r="A857" t="s">
        <v>4026</v>
      </c>
      <c r="C857" t="s">
        <v>1155</v>
      </c>
      <c r="F857" t="s">
        <v>1327</v>
      </c>
    </row>
    <row r="858" spans="1:6" x14ac:dyDescent="0.25">
      <c r="A858" t="s">
        <v>1781</v>
      </c>
      <c r="C858" t="s">
        <v>3404</v>
      </c>
      <c r="F858" t="s">
        <v>1328</v>
      </c>
    </row>
    <row r="859" spans="1:6" x14ac:dyDescent="0.25">
      <c r="A859" t="s">
        <v>4027</v>
      </c>
      <c r="C859" t="s">
        <v>3405</v>
      </c>
      <c r="F859" t="s">
        <v>1329</v>
      </c>
    </row>
    <row r="860" spans="1:6" x14ac:dyDescent="0.25">
      <c r="A860" t="s">
        <v>4028</v>
      </c>
      <c r="C860" t="s">
        <v>3406</v>
      </c>
      <c r="F860" t="s">
        <v>1330</v>
      </c>
    </row>
    <row r="861" spans="1:6" x14ac:dyDescent="0.25">
      <c r="A861" t="s">
        <v>4029</v>
      </c>
      <c r="C861" t="s">
        <v>3407</v>
      </c>
      <c r="F861" t="s">
        <v>1331</v>
      </c>
    </row>
    <row r="862" spans="1:6" x14ac:dyDescent="0.25">
      <c r="A862" t="s">
        <v>4030</v>
      </c>
      <c r="C862" t="s">
        <v>3408</v>
      </c>
      <c r="F862" t="s">
        <v>1332</v>
      </c>
    </row>
    <row r="863" spans="1:6" x14ac:dyDescent="0.25">
      <c r="A863" t="s">
        <v>4031</v>
      </c>
      <c r="C863" t="s">
        <v>3409</v>
      </c>
      <c r="F863" t="s">
        <v>1333</v>
      </c>
    </row>
    <row r="864" spans="1:6" x14ac:dyDescent="0.25">
      <c r="A864" t="s">
        <v>4032</v>
      </c>
      <c r="C864" t="s">
        <v>3410</v>
      </c>
      <c r="F864" t="s">
        <v>1334</v>
      </c>
    </row>
    <row r="865" spans="1:6" x14ac:dyDescent="0.25">
      <c r="A865" t="s">
        <v>1637</v>
      </c>
      <c r="C865" t="s">
        <v>3411</v>
      </c>
      <c r="F865" t="s">
        <v>183</v>
      </c>
    </row>
    <row r="866" spans="1:6" x14ac:dyDescent="0.25">
      <c r="A866" t="s">
        <v>43</v>
      </c>
      <c r="C866" t="s">
        <v>1020</v>
      </c>
      <c r="F866" t="s">
        <v>1335</v>
      </c>
    </row>
    <row r="867" spans="1:6" x14ac:dyDescent="0.25">
      <c r="A867" t="s">
        <v>4033</v>
      </c>
      <c r="C867" t="s">
        <v>3412</v>
      </c>
      <c r="F867" t="s">
        <v>1336</v>
      </c>
    </row>
    <row r="868" spans="1:6" x14ac:dyDescent="0.25">
      <c r="A868" t="s">
        <v>4034</v>
      </c>
      <c r="C868" t="s">
        <v>3413</v>
      </c>
      <c r="F868" t="s">
        <v>1337</v>
      </c>
    </row>
    <row r="869" spans="1:6" x14ac:dyDescent="0.25">
      <c r="A869" t="s">
        <v>4035</v>
      </c>
      <c r="C869" t="s">
        <v>3414</v>
      </c>
      <c r="F869" t="s">
        <v>1338</v>
      </c>
    </row>
    <row r="870" spans="1:6" x14ac:dyDescent="0.25">
      <c r="A870" t="s">
        <v>4036</v>
      </c>
      <c r="C870" t="s">
        <v>3415</v>
      </c>
      <c r="F870" t="s">
        <v>1339</v>
      </c>
    </row>
    <row r="871" spans="1:6" x14ac:dyDescent="0.25">
      <c r="A871" t="s">
        <v>4037</v>
      </c>
      <c r="C871" t="s">
        <v>3416</v>
      </c>
      <c r="F871" t="s">
        <v>1340</v>
      </c>
    </row>
    <row r="872" spans="1:6" x14ac:dyDescent="0.25">
      <c r="A872" t="s">
        <v>4038</v>
      </c>
      <c r="C872" t="s">
        <v>1908</v>
      </c>
      <c r="F872" t="s">
        <v>1341</v>
      </c>
    </row>
    <row r="873" spans="1:6" x14ac:dyDescent="0.25">
      <c r="A873" t="s">
        <v>1990</v>
      </c>
      <c r="C873" t="s">
        <v>3417</v>
      </c>
      <c r="F873" t="s">
        <v>1342</v>
      </c>
    </row>
    <row r="874" spans="1:6" x14ac:dyDescent="0.25">
      <c r="A874" t="s">
        <v>4039</v>
      </c>
      <c r="C874" t="s">
        <v>3418</v>
      </c>
      <c r="F874" t="s">
        <v>1343</v>
      </c>
    </row>
    <row r="875" spans="1:6" x14ac:dyDescent="0.25">
      <c r="A875" t="s">
        <v>4040</v>
      </c>
      <c r="C875" t="s">
        <v>3419</v>
      </c>
      <c r="F875" t="s">
        <v>1344</v>
      </c>
    </row>
    <row r="876" spans="1:6" x14ac:dyDescent="0.25">
      <c r="A876" t="s">
        <v>4041</v>
      </c>
      <c r="C876" t="s">
        <v>3420</v>
      </c>
      <c r="F876" t="s">
        <v>1345</v>
      </c>
    </row>
    <row r="877" spans="1:6" x14ac:dyDescent="0.25">
      <c r="A877" t="s">
        <v>233</v>
      </c>
      <c r="C877" t="s">
        <v>3421</v>
      </c>
      <c r="F877" t="s">
        <v>1346</v>
      </c>
    </row>
    <row r="878" spans="1:6" x14ac:dyDescent="0.25">
      <c r="A878" t="s">
        <v>1658</v>
      </c>
      <c r="C878" t="s">
        <v>3422</v>
      </c>
      <c r="F878" t="s">
        <v>1347</v>
      </c>
    </row>
    <row r="879" spans="1:6" x14ac:dyDescent="0.25">
      <c r="A879" t="s">
        <v>4042</v>
      </c>
      <c r="C879" t="s">
        <v>3423</v>
      </c>
      <c r="F879" t="s">
        <v>1348</v>
      </c>
    </row>
    <row r="880" spans="1:6" x14ac:dyDescent="0.25">
      <c r="A880" t="s">
        <v>4043</v>
      </c>
      <c r="C880" t="s">
        <v>3424</v>
      </c>
      <c r="F880" t="s">
        <v>1349</v>
      </c>
    </row>
    <row r="881" spans="1:6" x14ac:dyDescent="0.25">
      <c r="A881" t="s">
        <v>4044</v>
      </c>
      <c r="C881" t="s">
        <v>3425</v>
      </c>
      <c r="F881" t="s">
        <v>1350</v>
      </c>
    </row>
    <row r="882" spans="1:6" x14ac:dyDescent="0.25">
      <c r="A882" t="s">
        <v>4045</v>
      </c>
      <c r="C882" t="s">
        <v>3426</v>
      </c>
      <c r="F882" t="s">
        <v>1351</v>
      </c>
    </row>
    <row r="883" spans="1:6" x14ac:dyDescent="0.25">
      <c r="A883" t="s">
        <v>2571</v>
      </c>
      <c r="C883" t="s">
        <v>3427</v>
      </c>
      <c r="F883" t="s">
        <v>1352</v>
      </c>
    </row>
    <row r="884" spans="1:6" x14ac:dyDescent="0.25">
      <c r="A884" t="s">
        <v>4046</v>
      </c>
      <c r="C884" t="s">
        <v>1023</v>
      </c>
      <c r="F884" t="s">
        <v>1353</v>
      </c>
    </row>
    <row r="885" spans="1:6" x14ac:dyDescent="0.25">
      <c r="A885" t="s">
        <v>4047</v>
      </c>
      <c r="C885" t="s">
        <v>3428</v>
      </c>
      <c r="F885" t="s">
        <v>1354</v>
      </c>
    </row>
    <row r="886" spans="1:6" x14ac:dyDescent="0.25">
      <c r="A886" t="s">
        <v>1574</v>
      </c>
      <c r="C886" t="s">
        <v>3429</v>
      </c>
      <c r="F886" t="s">
        <v>1355</v>
      </c>
    </row>
    <row r="887" spans="1:6" x14ac:dyDescent="0.25">
      <c r="A887" t="s">
        <v>4048</v>
      </c>
      <c r="C887" t="s">
        <v>3430</v>
      </c>
      <c r="F887" t="s">
        <v>1356</v>
      </c>
    </row>
    <row r="888" spans="1:6" x14ac:dyDescent="0.25">
      <c r="A888" t="s">
        <v>4049</v>
      </c>
      <c r="C888" t="s">
        <v>3431</v>
      </c>
      <c r="F888" t="s">
        <v>1357</v>
      </c>
    </row>
    <row r="889" spans="1:6" x14ac:dyDescent="0.25">
      <c r="A889" t="s">
        <v>10</v>
      </c>
      <c r="C889" t="s">
        <v>3432</v>
      </c>
      <c r="F889" t="s">
        <v>1358</v>
      </c>
    </row>
    <row r="890" spans="1:6" x14ac:dyDescent="0.25">
      <c r="A890" t="s">
        <v>4050</v>
      </c>
      <c r="C890" t="s">
        <v>3433</v>
      </c>
      <c r="F890" t="s">
        <v>1359</v>
      </c>
    </row>
    <row r="891" spans="1:6" x14ac:dyDescent="0.25">
      <c r="A891" t="s">
        <v>4051</v>
      </c>
      <c r="C891" t="s">
        <v>3434</v>
      </c>
      <c r="F891" t="s">
        <v>1360</v>
      </c>
    </row>
    <row r="892" spans="1:6" x14ac:dyDescent="0.25">
      <c r="A892" t="s">
        <v>4052</v>
      </c>
      <c r="C892" t="s">
        <v>3435</v>
      </c>
      <c r="F892" t="s">
        <v>1361</v>
      </c>
    </row>
    <row r="893" spans="1:6" x14ac:dyDescent="0.25">
      <c r="A893" t="s">
        <v>4053</v>
      </c>
      <c r="C893" t="s">
        <v>3436</v>
      </c>
      <c r="F893" t="s">
        <v>1362</v>
      </c>
    </row>
    <row r="894" spans="1:6" x14ac:dyDescent="0.25">
      <c r="A894" t="s">
        <v>342</v>
      </c>
      <c r="C894" t="s">
        <v>3437</v>
      </c>
      <c r="F894" t="s">
        <v>1363</v>
      </c>
    </row>
    <row r="895" spans="1:6" x14ac:dyDescent="0.25">
      <c r="A895" t="s">
        <v>4054</v>
      </c>
      <c r="C895" t="s">
        <v>3438</v>
      </c>
      <c r="F895" t="s">
        <v>170</v>
      </c>
    </row>
    <row r="896" spans="1:6" x14ac:dyDescent="0.25">
      <c r="A896" t="s">
        <v>4055</v>
      </c>
      <c r="C896" t="s">
        <v>3439</v>
      </c>
      <c r="F896" t="s">
        <v>1364</v>
      </c>
    </row>
    <row r="897" spans="1:6" x14ac:dyDescent="0.25">
      <c r="A897" t="s">
        <v>2681</v>
      </c>
      <c r="C897" t="s">
        <v>3440</v>
      </c>
      <c r="F897" t="s">
        <v>1365</v>
      </c>
    </row>
    <row r="898" spans="1:6" x14ac:dyDescent="0.25">
      <c r="A898" t="s">
        <v>4056</v>
      </c>
      <c r="C898" t="s">
        <v>3441</v>
      </c>
      <c r="F898" t="s">
        <v>1366</v>
      </c>
    </row>
    <row r="899" spans="1:6" x14ac:dyDescent="0.25">
      <c r="A899" t="s">
        <v>751</v>
      </c>
      <c r="C899" t="s">
        <v>3442</v>
      </c>
      <c r="F899" t="s">
        <v>1367</v>
      </c>
    </row>
    <row r="900" spans="1:6" x14ac:dyDescent="0.25">
      <c r="A900" t="s">
        <v>4057</v>
      </c>
      <c r="C900" t="s">
        <v>3443</v>
      </c>
      <c r="F900" t="s">
        <v>1368</v>
      </c>
    </row>
    <row r="901" spans="1:6" x14ac:dyDescent="0.25">
      <c r="A901" t="s">
        <v>4058</v>
      </c>
      <c r="C901" t="s">
        <v>3444</v>
      </c>
      <c r="F901" t="s">
        <v>1369</v>
      </c>
    </row>
    <row r="902" spans="1:6" x14ac:dyDescent="0.25">
      <c r="A902" t="s">
        <v>4059</v>
      </c>
      <c r="C902" t="s">
        <v>3445</v>
      </c>
      <c r="F902" t="s">
        <v>1370</v>
      </c>
    </row>
    <row r="903" spans="1:6" x14ac:dyDescent="0.25">
      <c r="A903" t="s">
        <v>4060</v>
      </c>
      <c r="C903" t="s">
        <v>3446</v>
      </c>
      <c r="F903" t="s">
        <v>1371</v>
      </c>
    </row>
    <row r="904" spans="1:6" x14ac:dyDescent="0.25">
      <c r="A904" t="s">
        <v>1359</v>
      </c>
      <c r="C904" t="s">
        <v>3447</v>
      </c>
      <c r="F904" t="s">
        <v>1372</v>
      </c>
    </row>
    <row r="905" spans="1:6" x14ac:dyDescent="0.25">
      <c r="A905" t="s">
        <v>4061</v>
      </c>
      <c r="C905" t="s">
        <v>3448</v>
      </c>
      <c r="F905" t="s">
        <v>1373</v>
      </c>
    </row>
    <row r="906" spans="1:6" x14ac:dyDescent="0.25">
      <c r="A906" t="s">
        <v>4062</v>
      </c>
      <c r="C906" t="s">
        <v>3449</v>
      </c>
      <c r="F906" t="s">
        <v>1374</v>
      </c>
    </row>
    <row r="907" spans="1:6" x14ac:dyDescent="0.25">
      <c r="A907" t="s">
        <v>4063</v>
      </c>
      <c r="C907" t="s">
        <v>3450</v>
      </c>
      <c r="F907" t="s">
        <v>1375</v>
      </c>
    </row>
    <row r="908" spans="1:6" x14ac:dyDescent="0.25">
      <c r="A908" t="s">
        <v>4064</v>
      </c>
      <c r="C908" t="s">
        <v>3451</v>
      </c>
      <c r="F908" t="s">
        <v>1376</v>
      </c>
    </row>
    <row r="909" spans="1:6" x14ac:dyDescent="0.25">
      <c r="A909" t="s">
        <v>4065</v>
      </c>
      <c r="C909" t="s">
        <v>3452</v>
      </c>
      <c r="F909" t="s">
        <v>1377</v>
      </c>
    </row>
    <row r="910" spans="1:6" x14ac:dyDescent="0.25">
      <c r="A910" t="s">
        <v>224</v>
      </c>
      <c r="C910" t="s">
        <v>3453</v>
      </c>
      <c r="F910" t="s">
        <v>1378</v>
      </c>
    </row>
    <row r="911" spans="1:6" x14ac:dyDescent="0.25">
      <c r="A911" t="s">
        <v>4066</v>
      </c>
      <c r="C911" t="s">
        <v>3454</v>
      </c>
      <c r="F911" t="s">
        <v>1379</v>
      </c>
    </row>
    <row r="912" spans="1:6" x14ac:dyDescent="0.25">
      <c r="A912" t="s">
        <v>4067</v>
      </c>
      <c r="C912" t="s">
        <v>3455</v>
      </c>
      <c r="F912" t="s">
        <v>1380</v>
      </c>
    </row>
    <row r="913" spans="1:6" x14ac:dyDescent="0.25">
      <c r="A913" t="s">
        <v>4068</v>
      </c>
      <c r="C913" t="s">
        <v>3456</v>
      </c>
      <c r="F913" t="s">
        <v>1381</v>
      </c>
    </row>
    <row r="914" spans="1:6" x14ac:dyDescent="0.25">
      <c r="A914" t="s">
        <v>4069</v>
      </c>
      <c r="C914" t="s">
        <v>3457</v>
      </c>
      <c r="F914" t="s">
        <v>1382</v>
      </c>
    </row>
    <row r="915" spans="1:6" x14ac:dyDescent="0.25">
      <c r="A915" t="s">
        <v>4070</v>
      </c>
      <c r="C915" t="s">
        <v>3458</v>
      </c>
      <c r="F915" t="s">
        <v>1383</v>
      </c>
    </row>
    <row r="916" spans="1:6" x14ac:dyDescent="0.25">
      <c r="A916" t="s">
        <v>4071</v>
      </c>
      <c r="C916" t="s">
        <v>3459</v>
      </c>
      <c r="F916" t="s">
        <v>1384</v>
      </c>
    </row>
    <row r="917" spans="1:6" x14ac:dyDescent="0.25">
      <c r="A917" t="s">
        <v>4072</v>
      </c>
      <c r="C917" t="s">
        <v>3460</v>
      </c>
      <c r="F917" t="s">
        <v>1385</v>
      </c>
    </row>
    <row r="918" spans="1:6" x14ac:dyDescent="0.25">
      <c r="A918" t="s">
        <v>4073</v>
      </c>
      <c r="C918" t="s">
        <v>3461</v>
      </c>
      <c r="F918" t="s">
        <v>1386</v>
      </c>
    </row>
    <row r="919" spans="1:6" x14ac:dyDescent="0.25">
      <c r="A919" t="s">
        <v>102</v>
      </c>
      <c r="C919" t="s">
        <v>3462</v>
      </c>
      <c r="F919" t="s">
        <v>1387</v>
      </c>
    </row>
    <row r="920" spans="1:6" x14ac:dyDescent="0.25">
      <c r="A920" t="s">
        <v>4074</v>
      </c>
      <c r="C920" t="s">
        <v>3463</v>
      </c>
      <c r="F920" t="s">
        <v>18</v>
      </c>
    </row>
    <row r="921" spans="1:6" x14ac:dyDescent="0.25">
      <c r="A921" t="s">
        <v>2361</v>
      </c>
      <c r="C921" t="s">
        <v>2282</v>
      </c>
      <c r="F921" t="s">
        <v>1388</v>
      </c>
    </row>
    <row r="922" spans="1:6" x14ac:dyDescent="0.25">
      <c r="A922" t="s">
        <v>4075</v>
      </c>
      <c r="C922" t="s">
        <v>3464</v>
      </c>
      <c r="F922" t="s">
        <v>1389</v>
      </c>
    </row>
    <row r="923" spans="1:6" x14ac:dyDescent="0.25">
      <c r="A923" t="s">
        <v>4076</v>
      </c>
      <c r="C923" t="s">
        <v>3465</v>
      </c>
      <c r="F923" t="s">
        <v>1390</v>
      </c>
    </row>
    <row r="924" spans="1:6" x14ac:dyDescent="0.25">
      <c r="A924" t="s">
        <v>4077</v>
      </c>
      <c r="C924" t="s">
        <v>3466</v>
      </c>
      <c r="F924" t="s">
        <v>106</v>
      </c>
    </row>
    <row r="925" spans="1:6" x14ac:dyDescent="0.25">
      <c r="A925" t="s">
        <v>411</v>
      </c>
      <c r="C925" t="s">
        <v>3467</v>
      </c>
      <c r="F925" t="s">
        <v>1391</v>
      </c>
    </row>
    <row r="926" spans="1:6" x14ac:dyDescent="0.25">
      <c r="A926" t="s">
        <v>1857</v>
      </c>
      <c r="C926" t="s">
        <v>3468</v>
      </c>
      <c r="F926" t="s">
        <v>30</v>
      </c>
    </row>
    <row r="927" spans="1:6" x14ac:dyDescent="0.25">
      <c r="A927" t="s">
        <v>4078</v>
      </c>
      <c r="C927" t="s">
        <v>3469</v>
      </c>
      <c r="F927" t="s">
        <v>1392</v>
      </c>
    </row>
    <row r="928" spans="1:6" x14ac:dyDescent="0.25">
      <c r="A928" t="s">
        <v>4079</v>
      </c>
      <c r="C928" t="s">
        <v>3470</v>
      </c>
      <c r="F928" t="s">
        <v>143</v>
      </c>
    </row>
    <row r="929" spans="1:6" x14ac:dyDescent="0.25">
      <c r="A929" t="s">
        <v>4080</v>
      </c>
      <c r="C929" t="s">
        <v>3471</v>
      </c>
      <c r="F929" t="s">
        <v>196</v>
      </c>
    </row>
    <row r="930" spans="1:6" x14ac:dyDescent="0.25">
      <c r="A930" t="s">
        <v>4081</v>
      </c>
      <c r="C930" t="s">
        <v>3472</v>
      </c>
      <c r="F930" t="s">
        <v>1393</v>
      </c>
    </row>
    <row r="931" spans="1:6" x14ac:dyDescent="0.25">
      <c r="A931" t="s">
        <v>4082</v>
      </c>
      <c r="C931" t="s">
        <v>3473</v>
      </c>
      <c r="F931" t="s">
        <v>1394</v>
      </c>
    </row>
    <row r="932" spans="1:6" x14ac:dyDescent="0.25">
      <c r="A932" t="s">
        <v>4083</v>
      </c>
      <c r="C932" t="s">
        <v>3474</v>
      </c>
      <c r="F932" t="s">
        <v>1395</v>
      </c>
    </row>
    <row r="933" spans="1:6" x14ac:dyDescent="0.25">
      <c r="A933" t="s">
        <v>4084</v>
      </c>
      <c r="C933" t="s">
        <v>3475</v>
      </c>
      <c r="F933" t="s">
        <v>1396</v>
      </c>
    </row>
    <row r="934" spans="1:6" x14ac:dyDescent="0.25">
      <c r="A934" t="s">
        <v>4085</v>
      </c>
      <c r="C934" t="s">
        <v>960</v>
      </c>
      <c r="F934" t="s">
        <v>1397</v>
      </c>
    </row>
    <row r="935" spans="1:6" x14ac:dyDescent="0.25">
      <c r="A935" t="s">
        <v>4086</v>
      </c>
      <c r="C935" t="s">
        <v>3476</v>
      </c>
      <c r="F935" t="s">
        <v>1398</v>
      </c>
    </row>
    <row r="936" spans="1:6" x14ac:dyDescent="0.25">
      <c r="A936" t="s">
        <v>4087</v>
      </c>
      <c r="C936" t="s">
        <v>3477</v>
      </c>
      <c r="F936" t="s">
        <v>1399</v>
      </c>
    </row>
    <row r="937" spans="1:6" x14ac:dyDescent="0.25">
      <c r="A937" t="s">
        <v>221</v>
      </c>
      <c r="C937" t="s">
        <v>3478</v>
      </c>
      <c r="F937" t="s">
        <v>1400</v>
      </c>
    </row>
    <row r="938" spans="1:6" x14ac:dyDescent="0.25">
      <c r="A938" t="s">
        <v>4088</v>
      </c>
      <c r="C938" t="s">
        <v>3479</v>
      </c>
      <c r="F938" t="s">
        <v>1401</v>
      </c>
    </row>
    <row r="939" spans="1:6" x14ac:dyDescent="0.25">
      <c r="A939" t="s">
        <v>4089</v>
      </c>
      <c r="C939" t="s">
        <v>3480</v>
      </c>
      <c r="F939" t="s">
        <v>1402</v>
      </c>
    </row>
    <row r="940" spans="1:6" x14ac:dyDescent="0.25">
      <c r="A940" t="s">
        <v>4090</v>
      </c>
      <c r="C940" t="s">
        <v>3481</v>
      </c>
      <c r="F940" t="s">
        <v>1403</v>
      </c>
    </row>
    <row r="941" spans="1:6" x14ac:dyDescent="0.25">
      <c r="A941" t="s">
        <v>4091</v>
      </c>
      <c r="C941" t="s">
        <v>3482</v>
      </c>
      <c r="F941" t="s">
        <v>1404</v>
      </c>
    </row>
    <row r="942" spans="1:6" x14ac:dyDescent="0.25">
      <c r="A942" t="s">
        <v>4092</v>
      </c>
      <c r="C942" t="s">
        <v>3483</v>
      </c>
      <c r="F942" t="s">
        <v>58</v>
      </c>
    </row>
    <row r="943" spans="1:6" x14ac:dyDescent="0.25">
      <c r="A943" t="s">
        <v>4093</v>
      </c>
      <c r="C943" t="s">
        <v>3484</v>
      </c>
      <c r="F943" t="s">
        <v>1405</v>
      </c>
    </row>
    <row r="944" spans="1:6" x14ac:dyDescent="0.25">
      <c r="A944" t="s">
        <v>4094</v>
      </c>
      <c r="C944" t="s">
        <v>3485</v>
      </c>
      <c r="F944" t="s">
        <v>1406</v>
      </c>
    </row>
    <row r="945" spans="1:6" x14ac:dyDescent="0.25">
      <c r="A945" t="s">
        <v>4095</v>
      </c>
      <c r="C945" t="s">
        <v>3486</v>
      </c>
      <c r="F945" t="s">
        <v>1407</v>
      </c>
    </row>
    <row r="946" spans="1:6" x14ac:dyDescent="0.25">
      <c r="A946" t="s">
        <v>4096</v>
      </c>
      <c r="C946" t="s">
        <v>3487</v>
      </c>
      <c r="F946" t="s">
        <v>8</v>
      </c>
    </row>
    <row r="947" spans="1:6" x14ac:dyDescent="0.25">
      <c r="A947" t="s">
        <v>1452</v>
      </c>
      <c r="C947" t="s">
        <v>865</v>
      </c>
      <c r="F947" t="s">
        <v>1408</v>
      </c>
    </row>
    <row r="948" spans="1:6" x14ac:dyDescent="0.25">
      <c r="A948" t="s">
        <v>1229</v>
      </c>
      <c r="C948" t="s">
        <v>3488</v>
      </c>
      <c r="F948" t="s">
        <v>1409</v>
      </c>
    </row>
    <row r="949" spans="1:6" x14ac:dyDescent="0.25">
      <c r="A949" t="s">
        <v>4097</v>
      </c>
      <c r="C949" t="s">
        <v>3489</v>
      </c>
      <c r="F949" t="s">
        <v>1410</v>
      </c>
    </row>
    <row r="950" spans="1:6" x14ac:dyDescent="0.25">
      <c r="A950" t="s">
        <v>4098</v>
      </c>
      <c r="C950" t="s">
        <v>3490</v>
      </c>
      <c r="F950" t="s">
        <v>1411</v>
      </c>
    </row>
    <row r="951" spans="1:6" x14ac:dyDescent="0.25">
      <c r="A951" t="s">
        <v>4099</v>
      </c>
      <c r="C951" t="s">
        <v>2720</v>
      </c>
      <c r="F951" t="s">
        <v>1412</v>
      </c>
    </row>
    <row r="952" spans="1:6" x14ac:dyDescent="0.25">
      <c r="A952" t="s">
        <v>212</v>
      </c>
      <c r="C952" t="s">
        <v>3491</v>
      </c>
      <c r="F952" t="s">
        <v>1413</v>
      </c>
    </row>
    <row r="953" spans="1:6" x14ac:dyDescent="0.25">
      <c r="A953" t="s">
        <v>1796</v>
      </c>
      <c r="C953" t="s">
        <v>3492</v>
      </c>
      <c r="F953" t="s">
        <v>1414</v>
      </c>
    </row>
    <row r="954" spans="1:6" x14ac:dyDescent="0.25">
      <c r="A954" t="s">
        <v>1071</v>
      </c>
      <c r="C954" t="s">
        <v>3493</v>
      </c>
      <c r="F954" t="s">
        <v>1415</v>
      </c>
    </row>
    <row r="955" spans="1:6" x14ac:dyDescent="0.25">
      <c r="A955" t="s">
        <v>2743</v>
      </c>
      <c r="C955" t="s">
        <v>3494</v>
      </c>
      <c r="F955" t="s">
        <v>1416</v>
      </c>
    </row>
    <row r="956" spans="1:6" x14ac:dyDescent="0.25">
      <c r="A956" t="s">
        <v>27</v>
      </c>
      <c r="C956" t="s">
        <v>3495</v>
      </c>
      <c r="F956" t="s">
        <v>1417</v>
      </c>
    </row>
    <row r="957" spans="1:6" x14ac:dyDescent="0.25">
      <c r="A957" t="s">
        <v>4100</v>
      </c>
      <c r="C957" t="s">
        <v>3496</v>
      </c>
      <c r="F957" t="s">
        <v>1418</v>
      </c>
    </row>
    <row r="958" spans="1:6" x14ac:dyDescent="0.25">
      <c r="A958" t="s">
        <v>4101</v>
      </c>
      <c r="C958" t="s">
        <v>164</v>
      </c>
      <c r="F958" t="s">
        <v>1419</v>
      </c>
    </row>
    <row r="959" spans="1:6" x14ac:dyDescent="0.25">
      <c r="A959" t="s">
        <v>4102</v>
      </c>
      <c r="C959" t="s">
        <v>3497</v>
      </c>
      <c r="F959" t="s">
        <v>1420</v>
      </c>
    </row>
    <row r="960" spans="1:6" x14ac:dyDescent="0.25">
      <c r="A960" t="s">
        <v>4103</v>
      </c>
      <c r="C960" t="s">
        <v>3498</v>
      </c>
      <c r="F960" t="s">
        <v>1421</v>
      </c>
    </row>
    <row r="961" spans="1:6" x14ac:dyDescent="0.25">
      <c r="A961" t="s">
        <v>4103</v>
      </c>
      <c r="C961" t="s">
        <v>3499</v>
      </c>
      <c r="F961" t="s">
        <v>1422</v>
      </c>
    </row>
    <row r="962" spans="1:6" x14ac:dyDescent="0.25">
      <c r="A962" t="s">
        <v>4103</v>
      </c>
      <c r="C962" t="s">
        <v>3500</v>
      </c>
      <c r="F962" t="s">
        <v>1423</v>
      </c>
    </row>
    <row r="963" spans="1:6" x14ac:dyDescent="0.25">
      <c r="A963" t="s">
        <v>4103</v>
      </c>
      <c r="C963" t="s">
        <v>3501</v>
      </c>
      <c r="F963" t="s">
        <v>1424</v>
      </c>
    </row>
    <row r="964" spans="1:6" x14ac:dyDescent="0.25">
      <c r="A964" t="s">
        <v>4103</v>
      </c>
      <c r="C964" t="s">
        <v>3502</v>
      </c>
      <c r="F964" t="s">
        <v>1425</v>
      </c>
    </row>
    <row r="965" spans="1:6" x14ac:dyDescent="0.25">
      <c r="A965" t="s">
        <v>4103</v>
      </c>
      <c r="C965" t="s">
        <v>3503</v>
      </c>
      <c r="F965" t="s">
        <v>882</v>
      </c>
    </row>
    <row r="966" spans="1:6" x14ac:dyDescent="0.25">
      <c r="A966" t="s">
        <v>4103</v>
      </c>
      <c r="C966" t="s">
        <v>3504</v>
      </c>
      <c r="F966" t="s">
        <v>1426</v>
      </c>
    </row>
    <row r="967" spans="1:6" x14ac:dyDescent="0.25">
      <c r="A967" t="s">
        <v>4103</v>
      </c>
      <c r="C967" t="s">
        <v>3505</v>
      </c>
      <c r="F967" t="s">
        <v>1427</v>
      </c>
    </row>
    <row r="968" spans="1:6" x14ac:dyDescent="0.25">
      <c r="A968" t="s">
        <v>4103</v>
      </c>
      <c r="C968" t="s">
        <v>3506</v>
      </c>
      <c r="F968" t="s">
        <v>1428</v>
      </c>
    </row>
    <row r="969" spans="1:6" x14ac:dyDescent="0.25">
      <c r="A969" t="s">
        <v>4103</v>
      </c>
      <c r="C969" t="s">
        <v>3507</v>
      </c>
      <c r="F969" t="s">
        <v>1429</v>
      </c>
    </row>
    <row r="970" spans="1:6" x14ac:dyDescent="0.25">
      <c r="A970" t="s">
        <v>4103</v>
      </c>
      <c r="C970" t="s">
        <v>3508</v>
      </c>
      <c r="F970" t="s">
        <v>1430</v>
      </c>
    </row>
    <row r="971" spans="1:6" x14ac:dyDescent="0.25">
      <c r="A971" t="s">
        <v>4103</v>
      </c>
      <c r="C971" t="s">
        <v>3509</v>
      </c>
      <c r="F971" t="s">
        <v>1020</v>
      </c>
    </row>
    <row r="972" spans="1:6" x14ac:dyDescent="0.25">
      <c r="A972" t="s">
        <v>4103</v>
      </c>
      <c r="C972" t="s">
        <v>1581</v>
      </c>
      <c r="F972" t="s">
        <v>1431</v>
      </c>
    </row>
    <row r="973" spans="1:6" x14ac:dyDescent="0.25">
      <c r="A973" t="s">
        <v>4103</v>
      </c>
      <c r="C973" t="s">
        <v>3510</v>
      </c>
      <c r="F973" t="s">
        <v>1432</v>
      </c>
    </row>
    <row r="974" spans="1:6" x14ac:dyDescent="0.25">
      <c r="A974" t="s">
        <v>4103</v>
      </c>
      <c r="C974" t="s">
        <v>3511</v>
      </c>
      <c r="F974" t="s">
        <v>1433</v>
      </c>
    </row>
    <row r="975" spans="1:6" x14ac:dyDescent="0.25">
      <c r="A975" t="s">
        <v>4103</v>
      </c>
      <c r="C975" t="s">
        <v>3512</v>
      </c>
      <c r="F975" t="s">
        <v>1434</v>
      </c>
    </row>
    <row r="976" spans="1:6" x14ac:dyDescent="0.25">
      <c r="A976" t="s">
        <v>4103</v>
      </c>
      <c r="C976" t="s">
        <v>864</v>
      </c>
      <c r="F976" t="s">
        <v>1435</v>
      </c>
    </row>
    <row r="977" spans="1:6" x14ac:dyDescent="0.25">
      <c r="A977" t="s">
        <v>4103</v>
      </c>
      <c r="C977" t="s">
        <v>3513</v>
      </c>
      <c r="F977" t="s">
        <v>1436</v>
      </c>
    </row>
    <row r="978" spans="1:6" x14ac:dyDescent="0.25">
      <c r="A978" t="s">
        <v>4103</v>
      </c>
      <c r="C978" t="s">
        <v>2005</v>
      </c>
      <c r="F978" t="s">
        <v>1437</v>
      </c>
    </row>
    <row r="979" spans="1:6" x14ac:dyDescent="0.25">
      <c r="A979" t="s">
        <v>4103</v>
      </c>
      <c r="C979" t="s">
        <v>3514</v>
      </c>
      <c r="F979" t="s">
        <v>1438</v>
      </c>
    </row>
    <row r="980" spans="1:6" x14ac:dyDescent="0.25">
      <c r="A980" t="s">
        <v>4103</v>
      </c>
      <c r="C980" t="s">
        <v>3515</v>
      </c>
      <c r="F980" t="s">
        <v>1439</v>
      </c>
    </row>
    <row r="981" spans="1:6" x14ac:dyDescent="0.25">
      <c r="A981" t="s">
        <v>4103</v>
      </c>
      <c r="C981" t="s">
        <v>3516</v>
      </c>
      <c r="F981" t="s">
        <v>1440</v>
      </c>
    </row>
    <row r="982" spans="1:6" x14ac:dyDescent="0.25">
      <c r="A982" t="s">
        <v>4103</v>
      </c>
      <c r="C982" t="s">
        <v>3517</v>
      </c>
      <c r="F982" t="s">
        <v>1441</v>
      </c>
    </row>
    <row r="983" spans="1:6" x14ac:dyDescent="0.25">
      <c r="A983" t="s">
        <v>4103</v>
      </c>
      <c r="C983" t="s">
        <v>3518</v>
      </c>
      <c r="F983" t="s">
        <v>1442</v>
      </c>
    </row>
    <row r="984" spans="1:6" x14ac:dyDescent="0.25">
      <c r="A984" t="s">
        <v>4103</v>
      </c>
      <c r="C984" t="s">
        <v>3519</v>
      </c>
      <c r="F984" t="s">
        <v>1443</v>
      </c>
    </row>
    <row r="985" spans="1:6" x14ac:dyDescent="0.25">
      <c r="A985" t="s">
        <v>4103</v>
      </c>
      <c r="C985" t="s">
        <v>3520</v>
      </c>
      <c r="F985" t="s">
        <v>1444</v>
      </c>
    </row>
    <row r="986" spans="1:6" x14ac:dyDescent="0.25">
      <c r="A986" t="s">
        <v>4103</v>
      </c>
      <c r="C986" t="s">
        <v>3521</v>
      </c>
      <c r="F986" t="s">
        <v>57</v>
      </c>
    </row>
    <row r="987" spans="1:6" x14ac:dyDescent="0.25">
      <c r="A987" t="s">
        <v>4103</v>
      </c>
      <c r="C987" t="s">
        <v>3522</v>
      </c>
      <c r="F987" t="s">
        <v>1445</v>
      </c>
    </row>
    <row r="988" spans="1:6" x14ac:dyDescent="0.25">
      <c r="A988" t="s">
        <v>4103</v>
      </c>
      <c r="C988" t="s">
        <v>3523</v>
      </c>
      <c r="F988" t="s">
        <v>1446</v>
      </c>
    </row>
    <row r="989" spans="1:6" x14ac:dyDescent="0.25">
      <c r="A989" t="s">
        <v>4103</v>
      </c>
      <c r="C989" t="s">
        <v>3524</v>
      </c>
      <c r="F989" t="s">
        <v>1447</v>
      </c>
    </row>
    <row r="990" spans="1:6" x14ac:dyDescent="0.25">
      <c r="A990" t="s">
        <v>4103</v>
      </c>
      <c r="C990" t="s">
        <v>3525</v>
      </c>
      <c r="F990" t="s">
        <v>1448</v>
      </c>
    </row>
    <row r="991" spans="1:6" x14ac:dyDescent="0.25">
      <c r="A991" t="s">
        <v>4103</v>
      </c>
      <c r="C991" t="s">
        <v>3526</v>
      </c>
      <c r="F991" t="s">
        <v>1449</v>
      </c>
    </row>
    <row r="992" spans="1:6" x14ac:dyDescent="0.25">
      <c r="A992" t="s">
        <v>4103</v>
      </c>
      <c r="C992" t="s">
        <v>3527</v>
      </c>
      <c r="F992" t="s">
        <v>1450</v>
      </c>
    </row>
    <row r="993" spans="1:6" x14ac:dyDescent="0.25">
      <c r="A993" t="s">
        <v>4103</v>
      </c>
      <c r="C993" t="s">
        <v>3528</v>
      </c>
      <c r="F993" t="s">
        <v>108</v>
      </c>
    </row>
    <row r="994" spans="1:6" x14ac:dyDescent="0.25">
      <c r="A994" t="s">
        <v>4103</v>
      </c>
      <c r="C994" t="s">
        <v>3529</v>
      </c>
      <c r="F994" t="s">
        <v>1451</v>
      </c>
    </row>
    <row r="995" spans="1:6" x14ac:dyDescent="0.25">
      <c r="A995" t="s">
        <v>4103</v>
      </c>
      <c r="C995" t="s">
        <v>3530</v>
      </c>
      <c r="F995" t="s">
        <v>1452</v>
      </c>
    </row>
    <row r="996" spans="1:6" x14ac:dyDescent="0.25">
      <c r="A996" t="s">
        <v>4103</v>
      </c>
      <c r="C996" t="s">
        <v>3531</v>
      </c>
      <c r="F996" t="s">
        <v>1453</v>
      </c>
    </row>
    <row r="997" spans="1:6" x14ac:dyDescent="0.25">
      <c r="A997" t="s">
        <v>4103</v>
      </c>
      <c r="C997" t="s">
        <v>3532</v>
      </c>
      <c r="F997" t="s">
        <v>1454</v>
      </c>
    </row>
    <row r="998" spans="1:6" x14ac:dyDescent="0.25">
      <c r="A998" t="s">
        <v>4103</v>
      </c>
      <c r="C998" t="s">
        <v>3533</v>
      </c>
      <c r="F998" t="s">
        <v>1455</v>
      </c>
    </row>
    <row r="999" spans="1:6" x14ac:dyDescent="0.25">
      <c r="A999" t="s">
        <v>4103</v>
      </c>
      <c r="C999" t="s">
        <v>1079</v>
      </c>
      <c r="F999" t="s">
        <v>1456</v>
      </c>
    </row>
    <row r="1000" spans="1:6" x14ac:dyDescent="0.25">
      <c r="A1000" t="s">
        <v>4103</v>
      </c>
      <c r="C1000" t="s">
        <v>3534</v>
      </c>
      <c r="F1000" t="s">
        <v>1457</v>
      </c>
    </row>
    <row r="1001" spans="1:6" x14ac:dyDescent="0.25">
      <c r="A1001" t="s">
        <v>4103</v>
      </c>
      <c r="C1001" t="s">
        <v>3535</v>
      </c>
      <c r="F1001" t="s">
        <v>1458</v>
      </c>
    </row>
    <row r="1002" spans="1:6" x14ac:dyDescent="0.25">
      <c r="A1002" t="s">
        <v>4103</v>
      </c>
      <c r="C1002" t="s">
        <v>3536</v>
      </c>
      <c r="F1002" t="s">
        <v>1459</v>
      </c>
    </row>
    <row r="1003" spans="1:6" x14ac:dyDescent="0.25">
      <c r="A1003" t="s">
        <v>4103</v>
      </c>
      <c r="C1003" t="s">
        <v>3537</v>
      </c>
      <c r="F1003" t="s">
        <v>1460</v>
      </c>
    </row>
    <row r="1004" spans="1:6" x14ac:dyDescent="0.25">
      <c r="A1004" t="s">
        <v>4103</v>
      </c>
      <c r="C1004" t="s">
        <v>3538</v>
      </c>
      <c r="F1004" t="s">
        <v>1461</v>
      </c>
    </row>
    <row r="1005" spans="1:6" x14ac:dyDescent="0.25">
      <c r="A1005" t="s">
        <v>4103</v>
      </c>
      <c r="C1005" t="s">
        <v>3539</v>
      </c>
      <c r="F1005" t="s">
        <v>1462</v>
      </c>
    </row>
    <row r="1006" spans="1:6" x14ac:dyDescent="0.25">
      <c r="A1006" t="s">
        <v>4103</v>
      </c>
      <c r="C1006" t="s">
        <v>3540</v>
      </c>
      <c r="F1006" t="s">
        <v>1463</v>
      </c>
    </row>
    <row r="1007" spans="1:6" x14ac:dyDescent="0.25">
      <c r="A1007" t="s">
        <v>4103</v>
      </c>
      <c r="C1007" t="s">
        <v>3541</v>
      </c>
      <c r="F1007" t="s">
        <v>1464</v>
      </c>
    </row>
    <row r="1008" spans="1:6" x14ac:dyDescent="0.25">
      <c r="A1008" t="s">
        <v>4103</v>
      </c>
      <c r="C1008" t="s">
        <v>3542</v>
      </c>
      <c r="F1008" t="s">
        <v>1465</v>
      </c>
    </row>
    <row r="1009" spans="1:6" x14ac:dyDescent="0.25">
      <c r="A1009" t="s">
        <v>4103</v>
      </c>
      <c r="C1009" t="s">
        <v>3543</v>
      </c>
      <c r="F1009" t="s">
        <v>1466</v>
      </c>
    </row>
    <row r="1010" spans="1:6" x14ac:dyDescent="0.25">
      <c r="A1010" t="s">
        <v>4103</v>
      </c>
      <c r="C1010" t="s">
        <v>3544</v>
      </c>
      <c r="F1010" t="s">
        <v>1467</v>
      </c>
    </row>
    <row r="1011" spans="1:6" x14ac:dyDescent="0.25">
      <c r="A1011" t="s">
        <v>4103</v>
      </c>
      <c r="C1011" t="s">
        <v>3545</v>
      </c>
      <c r="F1011" t="s">
        <v>1468</v>
      </c>
    </row>
    <row r="1012" spans="1:6" x14ac:dyDescent="0.25">
      <c r="A1012" t="s">
        <v>4103</v>
      </c>
      <c r="C1012" t="s">
        <v>3546</v>
      </c>
      <c r="F1012" t="s">
        <v>1469</v>
      </c>
    </row>
    <row r="1013" spans="1:6" x14ac:dyDescent="0.25">
      <c r="A1013" t="s">
        <v>4103</v>
      </c>
      <c r="C1013" t="s">
        <v>3547</v>
      </c>
      <c r="F1013" t="s">
        <v>1470</v>
      </c>
    </row>
    <row r="1014" spans="1:6" x14ac:dyDescent="0.25">
      <c r="A1014" t="s">
        <v>4103</v>
      </c>
      <c r="C1014" t="s">
        <v>3548</v>
      </c>
      <c r="F1014" t="s">
        <v>1471</v>
      </c>
    </row>
    <row r="1015" spans="1:6" x14ac:dyDescent="0.25">
      <c r="A1015" t="s">
        <v>4103</v>
      </c>
      <c r="C1015" t="s">
        <v>3549</v>
      </c>
      <c r="F1015" t="s">
        <v>1472</v>
      </c>
    </row>
    <row r="1016" spans="1:6" x14ac:dyDescent="0.25">
      <c r="A1016" t="s">
        <v>4103</v>
      </c>
      <c r="C1016" t="s">
        <v>3550</v>
      </c>
      <c r="F1016" t="s">
        <v>1473</v>
      </c>
    </row>
    <row r="1017" spans="1:6" x14ac:dyDescent="0.25">
      <c r="A1017" t="s">
        <v>4103</v>
      </c>
      <c r="C1017" t="s">
        <v>3551</v>
      </c>
      <c r="F1017" t="s">
        <v>1474</v>
      </c>
    </row>
    <row r="1018" spans="1:6" x14ac:dyDescent="0.25">
      <c r="A1018" t="s">
        <v>4103</v>
      </c>
      <c r="C1018" t="s">
        <v>3552</v>
      </c>
      <c r="F1018" t="s">
        <v>1475</v>
      </c>
    </row>
    <row r="1019" spans="1:6" x14ac:dyDescent="0.25">
      <c r="A1019" t="s">
        <v>4103</v>
      </c>
      <c r="C1019" t="s">
        <v>3553</v>
      </c>
      <c r="F1019" t="s">
        <v>1476</v>
      </c>
    </row>
    <row r="1020" spans="1:6" x14ac:dyDescent="0.25">
      <c r="A1020" t="s">
        <v>4103</v>
      </c>
      <c r="C1020" t="s">
        <v>3554</v>
      </c>
      <c r="F1020" t="s">
        <v>1477</v>
      </c>
    </row>
    <row r="1021" spans="1:6" x14ac:dyDescent="0.25">
      <c r="A1021" t="s">
        <v>4103</v>
      </c>
      <c r="C1021" t="s">
        <v>3555</v>
      </c>
      <c r="F1021" t="s">
        <v>1478</v>
      </c>
    </row>
    <row r="1022" spans="1:6" x14ac:dyDescent="0.25">
      <c r="A1022" t="s">
        <v>4103</v>
      </c>
      <c r="C1022" t="s">
        <v>3556</v>
      </c>
      <c r="F1022" t="s">
        <v>1479</v>
      </c>
    </row>
    <row r="1023" spans="1:6" x14ac:dyDescent="0.25">
      <c r="A1023" t="s">
        <v>4103</v>
      </c>
      <c r="C1023" t="s">
        <v>3557</v>
      </c>
      <c r="F1023" t="s">
        <v>886</v>
      </c>
    </row>
    <row r="1024" spans="1:6" x14ac:dyDescent="0.25">
      <c r="A1024" t="s">
        <v>4103</v>
      </c>
      <c r="C1024" t="s">
        <v>3558</v>
      </c>
      <c r="F1024" t="s">
        <v>1480</v>
      </c>
    </row>
    <row r="1025" spans="1:6" x14ac:dyDescent="0.25">
      <c r="A1025" t="s">
        <v>4103</v>
      </c>
      <c r="C1025" t="s">
        <v>3559</v>
      </c>
      <c r="F1025" t="s">
        <v>1481</v>
      </c>
    </row>
    <row r="1026" spans="1:6" x14ac:dyDescent="0.25">
      <c r="A1026" t="s">
        <v>4103</v>
      </c>
      <c r="C1026" t="s">
        <v>3560</v>
      </c>
      <c r="F1026" t="s">
        <v>1482</v>
      </c>
    </row>
    <row r="1027" spans="1:6" x14ac:dyDescent="0.25">
      <c r="A1027" t="s">
        <v>4103</v>
      </c>
      <c r="C1027" t="s">
        <v>3561</v>
      </c>
      <c r="F1027" t="s">
        <v>1483</v>
      </c>
    </row>
    <row r="1028" spans="1:6" x14ac:dyDescent="0.25">
      <c r="A1028" t="s">
        <v>4103</v>
      </c>
      <c r="C1028" t="s">
        <v>2121</v>
      </c>
      <c r="F1028" t="s">
        <v>1484</v>
      </c>
    </row>
    <row r="1029" spans="1:6" x14ac:dyDescent="0.25">
      <c r="A1029" t="s">
        <v>4103</v>
      </c>
      <c r="C1029" t="s">
        <v>3562</v>
      </c>
      <c r="F1029" t="s">
        <v>1485</v>
      </c>
    </row>
    <row r="1030" spans="1:6" x14ac:dyDescent="0.25">
      <c r="A1030" t="s">
        <v>4103</v>
      </c>
      <c r="C1030" t="s">
        <v>3563</v>
      </c>
      <c r="F1030" t="s">
        <v>1486</v>
      </c>
    </row>
    <row r="1031" spans="1:6" x14ac:dyDescent="0.25">
      <c r="A1031" t="s">
        <v>4103</v>
      </c>
      <c r="C1031" t="s">
        <v>3564</v>
      </c>
      <c r="F1031" t="s">
        <v>1487</v>
      </c>
    </row>
    <row r="1032" spans="1:6" x14ac:dyDescent="0.25">
      <c r="A1032" t="s">
        <v>4103</v>
      </c>
      <c r="C1032" t="s">
        <v>3565</v>
      </c>
      <c r="F1032" t="s">
        <v>1488</v>
      </c>
    </row>
    <row r="1033" spans="1:6" x14ac:dyDescent="0.25">
      <c r="A1033" t="s">
        <v>4103</v>
      </c>
      <c r="C1033" t="s">
        <v>3566</v>
      </c>
      <c r="F1033" t="s">
        <v>1489</v>
      </c>
    </row>
    <row r="1034" spans="1:6" x14ac:dyDescent="0.25">
      <c r="A1034" t="s">
        <v>4103</v>
      </c>
      <c r="C1034" t="s">
        <v>3567</v>
      </c>
      <c r="F1034" t="s">
        <v>137</v>
      </c>
    </row>
    <row r="1035" spans="1:6" x14ac:dyDescent="0.25">
      <c r="A1035" t="s">
        <v>4103</v>
      </c>
      <c r="C1035" t="s">
        <v>3568</v>
      </c>
      <c r="F1035" t="s">
        <v>1490</v>
      </c>
    </row>
    <row r="1036" spans="1:6" x14ac:dyDescent="0.25">
      <c r="A1036" t="s">
        <v>4103</v>
      </c>
      <c r="C1036" t="s">
        <v>3569</v>
      </c>
      <c r="F1036" t="s">
        <v>1491</v>
      </c>
    </row>
    <row r="1037" spans="1:6" x14ac:dyDescent="0.25">
      <c r="A1037" t="s">
        <v>4103</v>
      </c>
      <c r="C1037" t="s">
        <v>3570</v>
      </c>
      <c r="F1037" t="s">
        <v>1492</v>
      </c>
    </row>
    <row r="1038" spans="1:6" x14ac:dyDescent="0.25">
      <c r="A1038" t="s">
        <v>4103</v>
      </c>
      <c r="C1038" t="s">
        <v>3571</v>
      </c>
      <c r="F1038" t="s">
        <v>1493</v>
      </c>
    </row>
    <row r="1039" spans="1:6" x14ac:dyDescent="0.25">
      <c r="A1039" t="s">
        <v>4103</v>
      </c>
      <c r="C1039" t="s">
        <v>3572</v>
      </c>
      <c r="F1039" t="s">
        <v>1494</v>
      </c>
    </row>
    <row r="1040" spans="1:6" x14ac:dyDescent="0.25">
      <c r="A1040" t="s">
        <v>4103</v>
      </c>
      <c r="C1040" t="s">
        <v>3573</v>
      </c>
      <c r="F1040" t="s">
        <v>1495</v>
      </c>
    </row>
    <row r="1041" spans="1:6" x14ac:dyDescent="0.25">
      <c r="A1041" t="s">
        <v>4103</v>
      </c>
      <c r="C1041" t="s">
        <v>1061</v>
      </c>
      <c r="F1041" t="s">
        <v>1496</v>
      </c>
    </row>
    <row r="1042" spans="1:6" x14ac:dyDescent="0.25">
      <c r="A1042" t="s">
        <v>4103</v>
      </c>
      <c r="C1042" t="s">
        <v>3574</v>
      </c>
      <c r="F1042" t="s">
        <v>1497</v>
      </c>
    </row>
    <row r="1043" spans="1:6" x14ac:dyDescent="0.25">
      <c r="A1043" t="s">
        <v>4103</v>
      </c>
      <c r="C1043" t="s">
        <v>1038</v>
      </c>
      <c r="F1043" t="s">
        <v>1498</v>
      </c>
    </row>
    <row r="1044" spans="1:6" x14ac:dyDescent="0.25">
      <c r="A1044" t="s">
        <v>4103</v>
      </c>
      <c r="C1044" t="s">
        <v>1041</v>
      </c>
      <c r="F1044" t="s">
        <v>1499</v>
      </c>
    </row>
    <row r="1045" spans="1:6" x14ac:dyDescent="0.25">
      <c r="A1045" t="s">
        <v>4103</v>
      </c>
      <c r="C1045" t="s">
        <v>3575</v>
      </c>
      <c r="F1045" t="s">
        <v>1500</v>
      </c>
    </row>
    <row r="1046" spans="1:6" x14ac:dyDescent="0.25">
      <c r="A1046" t="s">
        <v>4103</v>
      </c>
      <c r="C1046" t="s">
        <v>3576</v>
      </c>
      <c r="F1046" t="s">
        <v>1501</v>
      </c>
    </row>
    <row r="1047" spans="1:6" x14ac:dyDescent="0.25">
      <c r="A1047" t="s">
        <v>4103</v>
      </c>
      <c r="C1047" t="s">
        <v>3577</v>
      </c>
      <c r="F1047" t="s">
        <v>1502</v>
      </c>
    </row>
    <row r="1048" spans="1:6" x14ac:dyDescent="0.25">
      <c r="A1048" t="s">
        <v>4103</v>
      </c>
      <c r="C1048" t="s">
        <v>3578</v>
      </c>
      <c r="F1048" t="s">
        <v>1503</v>
      </c>
    </row>
    <row r="1049" spans="1:6" x14ac:dyDescent="0.25">
      <c r="A1049" t="s">
        <v>4103</v>
      </c>
      <c r="C1049" t="s">
        <v>3579</v>
      </c>
      <c r="F1049" t="s">
        <v>1504</v>
      </c>
    </row>
    <row r="1050" spans="1:6" x14ac:dyDescent="0.25">
      <c r="A1050" t="s">
        <v>4103</v>
      </c>
      <c r="C1050" t="s">
        <v>3580</v>
      </c>
      <c r="F1050" t="s">
        <v>1505</v>
      </c>
    </row>
    <row r="1051" spans="1:6" x14ac:dyDescent="0.25">
      <c r="A1051" t="s">
        <v>4103</v>
      </c>
      <c r="C1051" t="s">
        <v>3581</v>
      </c>
      <c r="F1051" t="s">
        <v>1506</v>
      </c>
    </row>
    <row r="1052" spans="1:6" x14ac:dyDescent="0.25">
      <c r="A1052" t="s">
        <v>4103</v>
      </c>
      <c r="C1052" t="s">
        <v>898</v>
      </c>
      <c r="F1052" t="s">
        <v>1507</v>
      </c>
    </row>
    <row r="1053" spans="1:6" x14ac:dyDescent="0.25">
      <c r="A1053" t="s">
        <v>4103</v>
      </c>
      <c r="C1053" t="s">
        <v>1096</v>
      </c>
      <c r="F1053" t="s">
        <v>1508</v>
      </c>
    </row>
    <row r="1054" spans="1:6" x14ac:dyDescent="0.25">
      <c r="A1054" t="s">
        <v>4103</v>
      </c>
      <c r="C1054" t="s">
        <v>3582</v>
      </c>
      <c r="F1054" t="s">
        <v>1509</v>
      </c>
    </row>
    <row r="1055" spans="1:6" x14ac:dyDescent="0.25">
      <c r="A1055" t="s">
        <v>4103</v>
      </c>
      <c r="C1055" t="s">
        <v>3583</v>
      </c>
      <c r="F1055" t="s">
        <v>1510</v>
      </c>
    </row>
    <row r="1056" spans="1:6" x14ac:dyDescent="0.25">
      <c r="A1056" t="s">
        <v>4103</v>
      </c>
      <c r="C1056" t="s">
        <v>3584</v>
      </c>
      <c r="F1056" t="s">
        <v>1511</v>
      </c>
    </row>
    <row r="1057" spans="1:6" x14ac:dyDescent="0.25">
      <c r="A1057" t="s">
        <v>4103</v>
      </c>
      <c r="C1057" t="s">
        <v>3585</v>
      </c>
      <c r="F1057" t="s">
        <v>1512</v>
      </c>
    </row>
    <row r="1058" spans="1:6" x14ac:dyDescent="0.25">
      <c r="A1058" t="s">
        <v>4103</v>
      </c>
      <c r="C1058" t="s">
        <v>3586</v>
      </c>
      <c r="F1058" t="s">
        <v>1513</v>
      </c>
    </row>
    <row r="1059" spans="1:6" x14ac:dyDescent="0.25">
      <c r="A1059" t="s">
        <v>4103</v>
      </c>
      <c r="C1059" t="s">
        <v>3587</v>
      </c>
      <c r="F1059" t="s">
        <v>1514</v>
      </c>
    </row>
    <row r="1060" spans="1:6" x14ac:dyDescent="0.25">
      <c r="A1060" t="s">
        <v>4103</v>
      </c>
      <c r="C1060" t="s">
        <v>3588</v>
      </c>
      <c r="F1060" t="s">
        <v>1515</v>
      </c>
    </row>
    <row r="1061" spans="1:6" x14ac:dyDescent="0.25">
      <c r="A1061" t="s">
        <v>4103</v>
      </c>
      <c r="C1061" t="s">
        <v>3589</v>
      </c>
      <c r="F1061" t="s">
        <v>1516</v>
      </c>
    </row>
    <row r="1062" spans="1:6" x14ac:dyDescent="0.25">
      <c r="A1062" t="s">
        <v>4103</v>
      </c>
      <c r="C1062" t="s">
        <v>3590</v>
      </c>
      <c r="F1062" t="s">
        <v>1517</v>
      </c>
    </row>
    <row r="1063" spans="1:6" x14ac:dyDescent="0.25">
      <c r="A1063" t="s">
        <v>4103</v>
      </c>
      <c r="C1063" t="s">
        <v>3591</v>
      </c>
      <c r="F1063" t="s">
        <v>1518</v>
      </c>
    </row>
    <row r="1064" spans="1:6" x14ac:dyDescent="0.25">
      <c r="A1064" t="s">
        <v>4103</v>
      </c>
      <c r="C1064" t="s">
        <v>3592</v>
      </c>
      <c r="F1064" t="s">
        <v>1519</v>
      </c>
    </row>
    <row r="1065" spans="1:6" x14ac:dyDescent="0.25">
      <c r="A1065" t="s">
        <v>4103</v>
      </c>
      <c r="C1065" t="s">
        <v>3593</v>
      </c>
      <c r="F1065" t="s">
        <v>1520</v>
      </c>
    </row>
    <row r="1066" spans="1:6" x14ac:dyDescent="0.25">
      <c r="A1066" t="s">
        <v>4103</v>
      </c>
      <c r="C1066" t="s">
        <v>3594</v>
      </c>
      <c r="F1066" t="s">
        <v>1521</v>
      </c>
    </row>
    <row r="1067" spans="1:6" x14ac:dyDescent="0.25">
      <c r="A1067" t="s">
        <v>4103</v>
      </c>
      <c r="C1067" t="s">
        <v>3595</v>
      </c>
      <c r="F1067" t="s">
        <v>1522</v>
      </c>
    </row>
    <row r="1068" spans="1:6" x14ac:dyDescent="0.25">
      <c r="A1068" t="s">
        <v>4103</v>
      </c>
      <c r="C1068" t="s">
        <v>3596</v>
      </c>
      <c r="F1068" t="s">
        <v>1523</v>
      </c>
    </row>
    <row r="1069" spans="1:6" x14ac:dyDescent="0.25">
      <c r="A1069" t="s">
        <v>4103</v>
      </c>
      <c r="C1069" t="s">
        <v>3597</v>
      </c>
      <c r="F1069" t="s">
        <v>1524</v>
      </c>
    </row>
    <row r="1070" spans="1:6" x14ac:dyDescent="0.25">
      <c r="A1070" t="s">
        <v>4103</v>
      </c>
      <c r="C1070" t="s">
        <v>3598</v>
      </c>
      <c r="F1070" t="s">
        <v>1525</v>
      </c>
    </row>
    <row r="1071" spans="1:6" x14ac:dyDescent="0.25">
      <c r="A1071" t="s">
        <v>4103</v>
      </c>
      <c r="C1071" t="s">
        <v>3599</v>
      </c>
      <c r="F1071" t="s">
        <v>1526</v>
      </c>
    </row>
    <row r="1072" spans="1:6" x14ac:dyDescent="0.25">
      <c r="A1072" t="s">
        <v>4103</v>
      </c>
      <c r="C1072" t="s">
        <v>3600</v>
      </c>
      <c r="F1072" t="s">
        <v>1527</v>
      </c>
    </row>
    <row r="1073" spans="1:6" x14ac:dyDescent="0.25">
      <c r="A1073" t="s">
        <v>4103</v>
      </c>
      <c r="C1073" t="s">
        <v>3601</v>
      </c>
      <c r="F1073" t="s">
        <v>1528</v>
      </c>
    </row>
    <row r="1074" spans="1:6" x14ac:dyDescent="0.25">
      <c r="A1074" t="s">
        <v>4103</v>
      </c>
      <c r="C1074" t="s">
        <v>3602</v>
      </c>
      <c r="F1074" t="s">
        <v>1529</v>
      </c>
    </row>
    <row r="1075" spans="1:6" x14ac:dyDescent="0.25">
      <c r="A1075" t="s">
        <v>4103</v>
      </c>
      <c r="C1075" t="s">
        <v>973</v>
      </c>
      <c r="F1075" t="s">
        <v>1530</v>
      </c>
    </row>
    <row r="1076" spans="1:6" x14ac:dyDescent="0.25">
      <c r="A1076" t="s">
        <v>4103</v>
      </c>
      <c r="C1076" t="s">
        <v>3603</v>
      </c>
      <c r="F1076" t="s">
        <v>1531</v>
      </c>
    </row>
    <row r="1077" spans="1:6" x14ac:dyDescent="0.25">
      <c r="A1077" t="s">
        <v>4103</v>
      </c>
      <c r="C1077" t="s">
        <v>3604</v>
      </c>
      <c r="F1077" t="s">
        <v>1532</v>
      </c>
    </row>
    <row r="1078" spans="1:6" x14ac:dyDescent="0.25">
      <c r="A1078" t="s">
        <v>4103</v>
      </c>
      <c r="C1078" t="s">
        <v>3605</v>
      </c>
      <c r="F1078" t="s">
        <v>1533</v>
      </c>
    </row>
    <row r="1079" spans="1:6" x14ac:dyDescent="0.25">
      <c r="A1079" t="s">
        <v>4103</v>
      </c>
      <c r="C1079" t="s">
        <v>3606</v>
      </c>
      <c r="F1079" t="s">
        <v>1534</v>
      </c>
    </row>
    <row r="1080" spans="1:6" x14ac:dyDescent="0.25">
      <c r="A1080" t="s">
        <v>4103</v>
      </c>
      <c r="C1080" t="s">
        <v>3607</v>
      </c>
      <c r="F1080" t="s">
        <v>1535</v>
      </c>
    </row>
    <row r="1081" spans="1:6" x14ac:dyDescent="0.25">
      <c r="A1081" t="s">
        <v>4103</v>
      </c>
      <c r="C1081" t="s">
        <v>3608</v>
      </c>
      <c r="F1081" t="s">
        <v>1536</v>
      </c>
    </row>
    <row r="1082" spans="1:6" x14ac:dyDescent="0.25">
      <c r="A1082" t="s">
        <v>4103</v>
      </c>
      <c r="C1082" t="s">
        <v>3609</v>
      </c>
      <c r="F1082" t="s">
        <v>1537</v>
      </c>
    </row>
    <row r="1083" spans="1:6" x14ac:dyDescent="0.25">
      <c r="A1083" t="s">
        <v>4103</v>
      </c>
      <c r="C1083" t="s">
        <v>3610</v>
      </c>
      <c r="F1083" t="s">
        <v>1538</v>
      </c>
    </row>
    <row r="1084" spans="1:6" x14ac:dyDescent="0.25">
      <c r="A1084" t="s">
        <v>4103</v>
      </c>
      <c r="C1084" t="s">
        <v>3611</v>
      </c>
      <c r="F1084" t="s">
        <v>1539</v>
      </c>
    </row>
    <row r="1085" spans="1:6" x14ac:dyDescent="0.25">
      <c r="A1085" t="s">
        <v>4103</v>
      </c>
      <c r="C1085" t="s">
        <v>1036</v>
      </c>
      <c r="F1085" t="s">
        <v>1540</v>
      </c>
    </row>
    <row r="1086" spans="1:6" x14ac:dyDescent="0.25">
      <c r="A1086" t="s">
        <v>4103</v>
      </c>
      <c r="C1086" t="s">
        <v>3612</v>
      </c>
      <c r="F1086" t="s">
        <v>1541</v>
      </c>
    </row>
    <row r="1087" spans="1:6" x14ac:dyDescent="0.25">
      <c r="A1087" t="s">
        <v>4103</v>
      </c>
      <c r="C1087" t="s">
        <v>1006</v>
      </c>
      <c r="F1087" t="s">
        <v>1542</v>
      </c>
    </row>
    <row r="1088" spans="1:6" x14ac:dyDescent="0.25">
      <c r="A1088" t="s">
        <v>4103</v>
      </c>
      <c r="C1088" t="s">
        <v>3613</v>
      </c>
      <c r="F1088" t="s">
        <v>1543</v>
      </c>
    </row>
    <row r="1089" spans="1:6" x14ac:dyDescent="0.25">
      <c r="A1089" t="s">
        <v>4103</v>
      </c>
      <c r="C1089" t="s">
        <v>3614</v>
      </c>
      <c r="F1089" t="s">
        <v>1544</v>
      </c>
    </row>
    <row r="1090" spans="1:6" x14ac:dyDescent="0.25">
      <c r="A1090" t="s">
        <v>4103</v>
      </c>
      <c r="C1090" t="s">
        <v>3615</v>
      </c>
      <c r="F1090" t="s">
        <v>1545</v>
      </c>
    </row>
    <row r="1091" spans="1:6" x14ac:dyDescent="0.25">
      <c r="A1091" t="s">
        <v>4103</v>
      </c>
      <c r="C1091" t="s">
        <v>3616</v>
      </c>
      <c r="F1091" t="s">
        <v>1546</v>
      </c>
    </row>
    <row r="1092" spans="1:6" x14ac:dyDescent="0.25">
      <c r="A1092" t="s">
        <v>4103</v>
      </c>
      <c r="C1092" t="s">
        <v>3617</v>
      </c>
      <c r="F1092" t="s">
        <v>1547</v>
      </c>
    </row>
    <row r="1093" spans="1:6" x14ac:dyDescent="0.25">
      <c r="A1093" t="s">
        <v>4103</v>
      </c>
      <c r="C1093" t="s">
        <v>3618</v>
      </c>
      <c r="F1093" t="s">
        <v>83</v>
      </c>
    </row>
    <row r="1094" spans="1:6" x14ac:dyDescent="0.25">
      <c r="A1094" t="s">
        <v>4103</v>
      </c>
      <c r="C1094" t="s">
        <v>3619</v>
      </c>
      <c r="F1094" t="s">
        <v>35</v>
      </c>
    </row>
    <row r="1095" spans="1:6" x14ac:dyDescent="0.25">
      <c r="A1095" t="s">
        <v>4103</v>
      </c>
      <c r="C1095" t="s">
        <v>985</v>
      </c>
      <c r="F1095" t="s">
        <v>114</v>
      </c>
    </row>
    <row r="1096" spans="1:6" x14ac:dyDescent="0.25">
      <c r="A1096" t="s">
        <v>4103</v>
      </c>
      <c r="C1096" t="s">
        <v>1064</v>
      </c>
      <c r="F1096" t="s">
        <v>127</v>
      </c>
    </row>
    <row r="1097" spans="1:6" x14ac:dyDescent="0.25">
      <c r="A1097" t="s">
        <v>4103</v>
      </c>
      <c r="C1097" t="s">
        <v>3620</v>
      </c>
      <c r="F1097" t="s">
        <v>1548</v>
      </c>
    </row>
    <row r="1098" spans="1:6" x14ac:dyDescent="0.25">
      <c r="A1098" t="s">
        <v>4103</v>
      </c>
      <c r="C1098" t="s">
        <v>3621</v>
      </c>
      <c r="F1098" t="s">
        <v>1549</v>
      </c>
    </row>
    <row r="1099" spans="1:6" x14ac:dyDescent="0.25">
      <c r="A1099" t="s">
        <v>4103</v>
      </c>
      <c r="C1099" t="s">
        <v>3622</v>
      </c>
      <c r="F1099" t="s">
        <v>1550</v>
      </c>
    </row>
    <row r="1100" spans="1:6" x14ac:dyDescent="0.25">
      <c r="A1100" t="s">
        <v>4103</v>
      </c>
      <c r="C1100" t="s">
        <v>3623</v>
      </c>
      <c r="F1100" t="s">
        <v>1551</v>
      </c>
    </row>
    <row r="1101" spans="1:6" x14ac:dyDescent="0.25">
      <c r="A1101" t="s">
        <v>4103</v>
      </c>
      <c r="C1101" t="s">
        <v>3624</v>
      </c>
      <c r="F1101" t="s">
        <v>1552</v>
      </c>
    </row>
    <row r="1102" spans="1:6" x14ac:dyDescent="0.25">
      <c r="A1102" t="s">
        <v>4103</v>
      </c>
      <c r="C1102" t="s">
        <v>3625</v>
      </c>
      <c r="F1102" t="s">
        <v>131</v>
      </c>
    </row>
    <row r="1103" spans="1:6" x14ac:dyDescent="0.25">
      <c r="A1103" t="s">
        <v>4103</v>
      </c>
      <c r="C1103" t="s">
        <v>3626</v>
      </c>
      <c r="F1103" t="s">
        <v>1553</v>
      </c>
    </row>
    <row r="1104" spans="1:6" x14ac:dyDescent="0.25">
      <c r="A1104" t="s">
        <v>4103</v>
      </c>
      <c r="C1104" t="s">
        <v>3627</v>
      </c>
      <c r="F1104" t="s">
        <v>1554</v>
      </c>
    </row>
    <row r="1105" spans="1:6" x14ac:dyDescent="0.25">
      <c r="A1105" t="s">
        <v>4103</v>
      </c>
      <c r="C1105" t="s">
        <v>3628</v>
      </c>
      <c r="F1105" t="s">
        <v>1555</v>
      </c>
    </row>
    <row r="1106" spans="1:6" x14ac:dyDescent="0.25">
      <c r="A1106" t="s">
        <v>4103</v>
      </c>
      <c r="C1106" t="s">
        <v>3629</v>
      </c>
      <c r="F1106" t="s">
        <v>1556</v>
      </c>
    </row>
    <row r="1107" spans="1:6" x14ac:dyDescent="0.25">
      <c r="A1107" t="s">
        <v>4103</v>
      </c>
      <c r="C1107" t="s">
        <v>3630</v>
      </c>
      <c r="F1107" t="s">
        <v>1557</v>
      </c>
    </row>
    <row r="1108" spans="1:6" x14ac:dyDescent="0.25">
      <c r="A1108" t="s">
        <v>4103</v>
      </c>
      <c r="C1108" t="s">
        <v>3631</v>
      </c>
      <c r="F1108" t="s">
        <v>1558</v>
      </c>
    </row>
    <row r="1109" spans="1:6" x14ac:dyDescent="0.25">
      <c r="A1109" t="s">
        <v>4103</v>
      </c>
      <c r="C1109" t="s">
        <v>3632</v>
      </c>
      <c r="F1109" t="s">
        <v>66</v>
      </c>
    </row>
    <row r="1110" spans="1:6" x14ac:dyDescent="0.25">
      <c r="A1110" t="s">
        <v>4103</v>
      </c>
      <c r="C1110" t="s">
        <v>3633</v>
      </c>
      <c r="F1110" t="s">
        <v>1559</v>
      </c>
    </row>
    <row r="1111" spans="1:6" x14ac:dyDescent="0.25">
      <c r="F1111" t="s">
        <v>1560</v>
      </c>
    </row>
    <row r="1112" spans="1:6" x14ac:dyDescent="0.25">
      <c r="F1112" t="s">
        <v>1561</v>
      </c>
    </row>
    <row r="1113" spans="1:6" x14ac:dyDescent="0.25">
      <c r="F1113" t="s">
        <v>1562</v>
      </c>
    </row>
    <row r="1114" spans="1:6" x14ac:dyDescent="0.25">
      <c r="F1114" t="s">
        <v>1563</v>
      </c>
    </row>
    <row r="1115" spans="1:6" x14ac:dyDescent="0.25">
      <c r="F1115" t="s">
        <v>1564</v>
      </c>
    </row>
    <row r="1116" spans="1:6" x14ac:dyDescent="0.25">
      <c r="F1116" t="s">
        <v>1565</v>
      </c>
    </row>
    <row r="1117" spans="1:6" x14ac:dyDescent="0.25">
      <c r="F1117" t="s">
        <v>1566</v>
      </c>
    </row>
    <row r="1118" spans="1:6" x14ac:dyDescent="0.25">
      <c r="F1118" t="s">
        <v>1567</v>
      </c>
    </row>
    <row r="1119" spans="1:6" x14ac:dyDescent="0.25">
      <c r="F1119" t="s">
        <v>1568</v>
      </c>
    </row>
    <row r="1120" spans="1:6" x14ac:dyDescent="0.25">
      <c r="F1120" t="s">
        <v>1569</v>
      </c>
    </row>
    <row r="1121" spans="6:6" x14ac:dyDescent="0.25">
      <c r="F1121" t="s">
        <v>1570</v>
      </c>
    </row>
    <row r="1122" spans="6:6" x14ac:dyDescent="0.25">
      <c r="F1122" t="s">
        <v>1571</v>
      </c>
    </row>
    <row r="1123" spans="6:6" x14ac:dyDescent="0.25">
      <c r="F1123" t="s">
        <v>1572</v>
      </c>
    </row>
    <row r="1124" spans="6:6" x14ac:dyDescent="0.25">
      <c r="F1124" t="s">
        <v>1573</v>
      </c>
    </row>
    <row r="1125" spans="6:6" x14ac:dyDescent="0.25">
      <c r="F1125" t="s">
        <v>1574</v>
      </c>
    </row>
    <row r="1126" spans="6:6" x14ac:dyDescent="0.25">
      <c r="F1126" t="s">
        <v>1575</v>
      </c>
    </row>
    <row r="1127" spans="6:6" x14ac:dyDescent="0.25">
      <c r="F1127" t="s">
        <v>1576</v>
      </c>
    </row>
    <row r="1128" spans="6:6" x14ac:dyDescent="0.25">
      <c r="F1128" t="s">
        <v>1577</v>
      </c>
    </row>
    <row r="1129" spans="6:6" x14ac:dyDescent="0.25">
      <c r="F1129" t="s">
        <v>1578</v>
      </c>
    </row>
    <row r="1130" spans="6:6" x14ac:dyDescent="0.25">
      <c r="F1130" t="s">
        <v>1579</v>
      </c>
    </row>
    <row r="1131" spans="6:6" x14ac:dyDescent="0.25">
      <c r="F1131" t="s">
        <v>1580</v>
      </c>
    </row>
    <row r="1132" spans="6:6" x14ac:dyDescent="0.25">
      <c r="F1132" t="s">
        <v>1581</v>
      </c>
    </row>
    <row r="1133" spans="6:6" x14ac:dyDescent="0.25">
      <c r="F1133" t="s">
        <v>1582</v>
      </c>
    </row>
    <row r="1134" spans="6:6" x14ac:dyDescent="0.25">
      <c r="F1134" t="s">
        <v>1583</v>
      </c>
    </row>
    <row r="1135" spans="6:6" x14ac:dyDescent="0.25">
      <c r="F1135" t="s">
        <v>1584</v>
      </c>
    </row>
    <row r="1136" spans="6:6" x14ac:dyDescent="0.25">
      <c r="F1136" t="s">
        <v>1585</v>
      </c>
    </row>
    <row r="1137" spans="6:6" x14ac:dyDescent="0.25">
      <c r="F1137" t="s">
        <v>1586</v>
      </c>
    </row>
    <row r="1138" spans="6:6" x14ac:dyDescent="0.25">
      <c r="F1138" t="s">
        <v>1587</v>
      </c>
    </row>
    <row r="1139" spans="6:6" x14ac:dyDescent="0.25">
      <c r="F1139" t="s">
        <v>1588</v>
      </c>
    </row>
    <row r="1140" spans="6:6" x14ac:dyDescent="0.25">
      <c r="F1140" t="s">
        <v>1589</v>
      </c>
    </row>
    <row r="1141" spans="6:6" x14ac:dyDescent="0.25">
      <c r="F1141" t="s">
        <v>1590</v>
      </c>
    </row>
    <row r="1142" spans="6:6" x14ac:dyDescent="0.25">
      <c r="F1142" t="s">
        <v>1591</v>
      </c>
    </row>
    <row r="1143" spans="6:6" x14ac:dyDescent="0.25">
      <c r="F1143" t="s">
        <v>1592</v>
      </c>
    </row>
    <row r="1144" spans="6:6" x14ac:dyDescent="0.25">
      <c r="F1144" t="s">
        <v>1593</v>
      </c>
    </row>
    <row r="1145" spans="6:6" x14ac:dyDescent="0.25">
      <c r="F1145" t="s">
        <v>1594</v>
      </c>
    </row>
    <row r="1146" spans="6:6" x14ac:dyDescent="0.25">
      <c r="F1146" t="s">
        <v>1595</v>
      </c>
    </row>
    <row r="1147" spans="6:6" x14ac:dyDescent="0.25">
      <c r="F1147" t="s">
        <v>1596</v>
      </c>
    </row>
    <row r="1148" spans="6:6" x14ac:dyDescent="0.25">
      <c r="F1148" t="s">
        <v>1597</v>
      </c>
    </row>
    <row r="1149" spans="6:6" x14ac:dyDescent="0.25">
      <c r="F1149" t="s">
        <v>1598</v>
      </c>
    </row>
    <row r="1150" spans="6:6" x14ac:dyDescent="0.25">
      <c r="F1150" t="s">
        <v>1599</v>
      </c>
    </row>
    <row r="1151" spans="6:6" x14ac:dyDescent="0.25">
      <c r="F1151" t="s">
        <v>1600</v>
      </c>
    </row>
    <row r="1152" spans="6:6" x14ac:dyDescent="0.25">
      <c r="F1152" t="s">
        <v>1601</v>
      </c>
    </row>
    <row r="1153" spans="6:6" x14ac:dyDescent="0.25">
      <c r="F1153" t="s">
        <v>1602</v>
      </c>
    </row>
    <row r="1154" spans="6:6" x14ac:dyDescent="0.25">
      <c r="F1154" t="s">
        <v>1603</v>
      </c>
    </row>
    <row r="1155" spans="6:6" x14ac:dyDescent="0.25">
      <c r="F1155" t="s">
        <v>1604</v>
      </c>
    </row>
    <row r="1156" spans="6:6" x14ac:dyDescent="0.25">
      <c r="F1156" t="s">
        <v>1605</v>
      </c>
    </row>
    <row r="1157" spans="6:6" x14ac:dyDescent="0.25">
      <c r="F1157" t="s">
        <v>1606</v>
      </c>
    </row>
    <row r="1158" spans="6:6" x14ac:dyDescent="0.25">
      <c r="F1158" t="s">
        <v>1607</v>
      </c>
    </row>
    <row r="1159" spans="6:6" x14ac:dyDescent="0.25">
      <c r="F1159" t="s">
        <v>1608</v>
      </c>
    </row>
    <row r="1160" spans="6:6" x14ac:dyDescent="0.25">
      <c r="F1160" t="s">
        <v>1609</v>
      </c>
    </row>
    <row r="1161" spans="6:6" x14ac:dyDescent="0.25">
      <c r="F1161" t="s">
        <v>1610</v>
      </c>
    </row>
    <row r="1162" spans="6:6" x14ac:dyDescent="0.25">
      <c r="F1162" t="s">
        <v>1611</v>
      </c>
    </row>
    <row r="1163" spans="6:6" x14ac:dyDescent="0.25">
      <c r="F1163" t="s">
        <v>1612</v>
      </c>
    </row>
    <row r="1164" spans="6:6" x14ac:dyDescent="0.25">
      <c r="F1164" t="s">
        <v>1613</v>
      </c>
    </row>
    <row r="1165" spans="6:6" x14ac:dyDescent="0.25">
      <c r="F1165" t="s">
        <v>1614</v>
      </c>
    </row>
    <row r="1166" spans="6:6" x14ac:dyDescent="0.25">
      <c r="F1166" t="s">
        <v>1615</v>
      </c>
    </row>
    <row r="1167" spans="6:6" x14ac:dyDescent="0.25">
      <c r="F1167" t="s">
        <v>1616</v>
      </c>
    </row>
    <row r="1168" spans="6:6" x14ac:dyDescent="0.25">
      <c r="F1168" t="s">
        <v>1617</v>
      </c>
    </row>
    <row r="1169" spans="6:6" x14ac:dyDescent="0.25">
      <c r="F1169" t="s">
        <v>1618</v>
      </c>
    </row>
    <row r="1170" spans="6:6" x14ac:dyDescent="0.25">
      <c r="F1170" t="s">
        <v>1619</v>
      </c>
    </row>
    <row r="1171" spans="6:6" x14ac:dyDescent="0.25">
      <c r="F1171" t="s">
        <v>1620</v>
      </c>
    </row>
    <row r="1172" spans="6:6" x14ac:dyDescent="0.25">
      <c r="F1172" t="s">
        <v>1621</v>
      </c>
    </row>
    <row r="1173" spans="6:6" x14ac:dyDescent="0.25">
      <c r="F1173" t="s">
        <v>1622</v>
      </c>
    </row>
    <row r="1174" spans="6:6" x14ac:dyDescent="0.25">
      <c r="F1174" t="s">
        <v>1623</v>
      </c>
    </row>
    <row r="1175" spans="6:6" x14ac:dyDescent="0.25">
      <c r="F1175" t="s">
        <v>1624</v>
      </c>
    </row>
    <row r="1176" spans="6:6" x14ac:dyDescent="0.25">
      <c r="F1176" t="s">
        <v>1625</v>
      </c>
    </row>
    <row r="1177" spans="6:6" x14ac:dyDescent="0.25">
      <c r="F1177" t="s">
        <v>1626</v>
      </c>
    </row>
    <row r="1178" spans="6:6" x14ac:dyDescent="0.25">
      <c r="F1178" t="s">
        <v>1627</v>
      </c>
    </row>
    <row r="1179" spans="6:6" x14ac:dyDescent="0.25">
      <c r="F1179" t="s">
        <v>1628</v>
      </c>
    </row>
    <row r="1180" spans="6:6" x14ac:dyDescent="0.25">
      <c r="F1180" t="s">
        <v>1629</v>
      </c>
    </row>
    <row r="1181" spans="6:6" x14ac:dyDescent="0.25">
      <c r="F1181" t="s">
        <v>1630</v>
      </c>
    </row>
    <row r="1182" spans="6:6" x14ac:dyDescent="0.25">
      <c r="F1182" t="s">
        <v>1631</v>
      </c>
    </row>
    <row r="1183" spans="6:6" x14ac:dyDescent="0.25">
      <c r="F1183" t="s">
        <v>1632</v>
      </c>
    </row>
    <row r="1184" spans="6:6" x14ac:dyDescent="0.25">
      <c r="F1184" t="s">
        <v>1633</v>
      </c>
    </row>
    <row r="1185" spans="6:6" x14ac:dyDescent="0.25">
      <c r="F1185" t="s">
        <v>1634</v>
      </c>
    </row>
    <row r="1186" spans="6:6" x14ac:dyDescent="0.25">
      <c r="F1186" t="s">
        <v>1635</v>
      </c>
    </row>
    <row r="1187" spans="6:6" x14ac:dyDescent="0.25">
      <c r="F1187" t="s">
        <v>1636</v>
      </c>
    </row>
    <row r="1188" spans="6:6" x14ac:dyDescent="0.25">
      <c r="F1188" t="s">
        <v>1637</v>
      </c>
    </row>
    <row r="1189" spans="6:6" x14ac:dyDescent="0.25">
      <c r="F1189" t="s">
        <v>1638</v>
      </c>
    </row>
    <row r="1190" spans="6:6" x14ac:dyDescent="0.25">
      <c r="F1190" t="s">
        <v>1639</v>
      </c>
    </row>
    <row r="1191" spans="6:6" x14ac:dyDescent="0.25">
      <c r="F1191" t="s">
        <v>1640</v>
      </c>
    </row>
    <row r="1192" spans="6:6" x14ac:dyDescent="0.25">
      <c r="F1192" t="s">
        <v>1641</v>
      </c>
    </row>
    <row r="1193" spans="6:6" x14ac:dyDescent="0.25">
      <c r="F1193" t="s">
        <v>1642</v>
      </c>
    </row>
    <row r="1194" spans="6:6" x14ac:dyDescent="0.25">
      <c r="F1194" t="s">
        <v>1643</v>
      </c>
    </row>
    <row r="1195" spans="6:6" x14ac:dyDescent="0.25">
      <c r="F1195" t="s">
        <v>1644</v>
      </c>
    </row>
    <row r="1196" spans="6:6" x14ac:dyDescent="0.25">
      <c r="F1196" t="s">
        <v>1645</v>
      </c>
    </row>
    <row r="1197" spans="6:6" x14ac:dyDescent="0.25">
      <c r="F1197" t="s">
        <v>1646</v>
      </c>
    </row>
    <row r="1198" spans="6:6" x14ac:dyDescent="0.25">
      <c r="F1198" t="s">
        <v>144</v>
      </c>
    </row>
    <row r="1199" spans="6:6" x14ac:dyDescent="0.25">
      <c r="F1199" t="s">
        <v>1647</v>
      </c>
    </row>
    <row r="1200" spans="6:6" x14ac:dyDescent="0.25">
      <c r="F1200" t="s">
        <v>917</v>
      </c>
    </row>
    <row r="1201" spans="6:6" x14ac:dyDescent="0.25">
      <c r="F1201" t="s">
        <v>1648</v>
      </c>
    </row>
    <row r="1202" spans="6:6" x14ac:dyDescent="0.25">
      <c r="F1202" t="s">
        <v>1649</v>
      </c>
    </row>
    <row r="1203" spans="6:6" x14ac:dyDescent="0.25">
      <c r="F1203" t="s">
        <v>1650</v>
      </c>
    </row>
    <row r="1204" spans="6:6" x14ac:dyDescent="0.25">
      <c r="F1204" t="s">
        <v>1651</v>
      </c>
    </row>
    <row r="1205" spans="6:6" x14ac:dyDescent="0.25">
      <c r="F1205" t="s">
        <v>1652</v>
      </c>
    </row>
    <row r="1206" spans="6:6" x14ac:dyDescent="0.25">
      <c r="F1206" t="s">
        <v>1653</v>
      </c>
    </row>
    <row r="1207" spans="6:6" x14ac:dyDescent="0.25">
      <c r="F1207" t="s">
        <v>1654</v>
      </c>
    </row>
    <row r="1208" spans="6:6" x14ac:dyDescent="0.25">
      <c r="F1208" t="s">
        <v>1655</v>
      </c>
    </row>
    <row r="1209" spans="6:6" x14ac:dyDescent="0.25">
      <c r="F1209" t="s">
        <v>1656</v>
      </c>
    </row>
    <row r="1210" spans="6:6" x14ac:dyDescent="0.25">
      <c r="F1210" t="s">
        <v>1657</v>
      </c>
    </row>
    <row r="1211" spans="6:6" x14ac:dyDescent="0.25">
      <c r="F1211" t="s">
        <v>1658</v>
      </c>
    </row>
    <row r="1212" spans="6:6" x14ac:dyDescent="0.25">
      <c r="F1212" t="s">
        <v>1659</v>
      </c>
    </row>
    <row r="1213" spans="6:6" x14ac:dyDescent="0.25">
      <c r="F1213" t="s">
        <v>1660</v>
      </c>
    </row>
    <row r="1214" spans="6:6" x14ac:dyDescent="0.25">
      <c r="F1214" t="s">
        <v>195</v>
      </c>
    </row>
    <row r="1215" spans="6:6" x14ac:dyDescent="0.25">
      <c r="F1215" t="s">
        <v>1661</v>
      </c>
    </row>
    <row r="1216" spans="6:6" x14ac:dyDescent="0.25">
      <c r="F1216" t="s">
        <v>1662</v>
      </c>
    </row>
    <row r="1217" spans="6:6" x14ac:dyDescent="0.25">
      <c r="F1217" t="s">
        <v>1663</v>
      </c>
    </row>
    <row r="1218" spans="6:6" x14ac:dyDescent="0.25">
      <c r="F1218" t="s">
        <v>1664</v>
      </c>
    </row>
    <row r="1219" spans="6:6" x14ac:dyDescent="0.25">
      <c r="F1219" t="s">
        <v>1665</v>
      </c>
    </row>
    <row r="1220" spans="6:6" x14ac:dyDescent="0.25">
      <c r="F1220" t="s">
        <v>1666</v>
      </c>
    </row>
    <row r="1221" spans="6:6" x14ac:dyDescent="0.25">
      <c r="F1221" t="s">
        <v>1667</v>
      </c>
    </row>
    <row r="1222" spans="6:6" x14ac:dyDescent="0.25">
      <c r="F1222" t="s">
        <v>1668</v>
      </c>
    </row>
    <row r="1223" spans="6:6" x14ac:dyDescent="0.25">
      <c r="F1223" t="s">
        <v>1669</v>
      </c>
    </row>
    <row r="1224" spans="6:6" x14ac:dyDescent="0.25">
      <c r="F1224" t="s">
        <v>1670</v>
      </c>
    </row>
    <row r="1225" spans="6:6" x14ac:dyDescent="0.25">
      <c r="F1225" t="s">
        <v>1671</v>
      </c>
    </row>
    <row r="1226" spans="6:6" x14ac:dyDescent="0.25">
      <c r="F1226" t="s">
        <v>1672</v>
      </c>
    </row>
    <row r="1227" spans="6:6" x14ac:dyDescent="0.25">
      <c r="F1227" t="s">
        <v>1673</v>
      </c>
    </row>
    <row r="1228" spans="6:6" x14ac:dyDescent="0.25">
      <c r="F1228" t="s">
        <v>1674</v>
      </c>
    </row>
    <row r="1229" spans="6:6" x14ac:dyDescent="0.25">
      <c r="F1229" t="s">
        <v>1675</v>
      </c>
    </row>
    <row r="1230" spans="6:6" x14ac:dyDescent="0.25">
      <c r="F1230" t="s">
        <v>1676</v>
      </c>
    </row>
    <row r="1231" spans="6:6" x14ac:dyDescent="0.25">
      <c r="F1231" t="s">
        <v>1677</v>
      </c>
    </row>
    <row r="1232" spans="6:6" x14ac:dyDescent="0.25">
      <c r="F1232" t="s">
        <v>1678</v>
      </c>
    </row>
    <row r="1233" spans="6:6" x14ac:dyDescent="0.25">
      <c r="F1233" t="s">
        <v>1679</v>
      </c>
    </row>
    <row r="1234" spans="6:6" x14ac:dyDescent="0.25">
      <c r="F1234" t="s">
        <v>1680</v>
      </c>
    </row>
    <row r="1235" spans="6:6" x14ac:dyDescent="0.25">
      <c r="F1235" t="s">
        <v>1681</v>
      </c>
    </row>
    <row r="1236" spans="6:6" x14ac:dyDescent="0.25">
      <c r="F1236" t="s">
        <v>1682</v>
      </c>
    </row>
    <row r="1237" spans="6:6" x14ac:dyDescent="0.25">
      <c r="F1237" t="s">
        <v>1683</v>
      </c>
    </row>
    <row r="1238" spans="6:6" x14ac:dyDescent="0.25">
      <c r="F1238" t="s">
        <v>1684</v>
      </c>
    </row>
    <row r="1239" spans="6:6" x14ac:dyDescent="0.25">
      <c r="F1239" t="s">
        <v>1685</v>
      </c>
    </row>
    <row r="1240" spans="6:6" x14ac:dyDescent="0.25">
      <c r="F1240" t="s">
        <v>1686</v>
      </c>
    </row>
    <row r="1241" spans="6:6" x14ac:dyDescent="0.25">
      <c r="F1241" t="s">
        <v>1687</v>
      </c>
    </row>
    <row r="1242" spans="6:6" x14ac:dyDescent="0.25">
      <c r="F1242" t="s">
        <v>1688</v>
      </c>
    </row>
    <row r="1243" spans="6:6" x14ac:dyDescent="0.25">
      <c r="F1243" t="s">
        <v>1689</v>
      </c>
    </row>
    <row r="1244" spans="6:6" x14ac:dyDescent="0.25">
      <c r="F1244" t="s">
        <v>1690</v>
      </c>
    </row>
    <row r="1245" spans="6:6" x14ac:dyDescent="0.25">
      <c r="F1245" t="s">
        <v>1691</v>
      </c>
    </row>
    <row r="1246" spans="6:6" x14ac:dyDescent="0.25">
      <c r="F1246" t="s">
        <v>1692</v>
      </c>
    </row>
    <row r="1247" spans="6:6" x14ac:dyDescent="0.25">
      <c r="F1247" t="s">
        <v>1693</v>
      </c>
    </row>
    <row r="1248" spans="6:6" x14ac:dyDescent="0.25">
      <c r="F1248" t="s">
        <v>1694</v>
      </c>
    </row>
    <row r="1249" spans="6:6" x14ac:dyDescent="0.25">
      <c r="F1249" t="s">
        <v>1695</v>
      </c>
    </row>
    <row r="1250" spans="6:6" x14ac:dyDescent="0.25">
      <c r="F1250" t="s">
        <v>1696</v>
      </c>
    </row>
    <row r="1251" spans="6:6" x14ac:dyDescent="0.25">
      <c r="F1251" t="s">
        <v>1697</v>
      </c>
    </row>
    <row r="1252" spans="6:6" x14ac:dyDescent="0.25">
      <c r="F1252" t="s">
        <v>1698</v>
      </c>
    </row>
    <row r="1253" spans="6:6" x14ac:dyDescent="0.25">
      <c r="F1253" t="s">
        <v>1699</v>
      </c>
    </row>
    <row r="1254" spans="6:6" x14ac:dyDescent="0.25">
      <c r="F1254" t="s">
        <v>1700</v>
      </c>
    </row>
    <row r="1255" spans="6:6" x14ac:dyDescent="0.25">
      <c r="F1255" t="s">
        <v>1701</v>
      </c>
    </row>
    <row r="1256" spans="6:6" x14ac:dyDescent="0.25">
      <c r="F1256" t="s">
        <v>1702</v>
      </c>
    </row>
    <row r="1257" spans="6:6" x14ac:dyDescent="0.25">
      <c r="F1257" t="s">
        <v>1703</v>
      </c>
    </row>
    <row r="1258" spans="6:6" x14ac:dyDescent="0.25">
      <c r="F1258" t="s">
        <v>1704</v>
      </c>
    </row>
    <row r="1259" spans="6:6" x14ac:dyDescent="0.25">
      <c r="F1259" t="s">
        <v>1705</v>
      </c>
    </row>
    <row r="1260" spans="6:6" x14ac:dyDescent="0.25">
      <c r="F1260" t="s">
        <v>1706</v>
      </c>
    </row>
    <row r="1261" spans="6:6" x14ac:dyDescent="0.25">
      <c r="F1261" t="s">
        <v>1707</v>
      </c>
    </row>
    <row r="1262" spans="6:6" x14ac:dyDescent="0.25">
      <c r="F1262" t="s">
        <v>1708</v>
      </c>
    </row>
    <row r="1263" spans="6:6" x14ac:dyDescent="0.25">
      <c r="F1263" t="s">
        <v>1709</v>
      </c>
    </row>
    <row r="1264" spans="6:6" x14ac:dyDescent="0.25">
      <c r="F1264" t="s">
        <v>1710</v>
      </c>
    </row>
    <row r="1265" spans="6:6" x14ac:dyDescent="0.25">
      <c r="F1265" t="s">
        <v>1711</v>
      </c>
    </row>
    <row r="1266" spans="6:6" x14ac:dyDescent="0.25">
      <c r="F1266" t="s">
        <v>1712</v>
      </c>
    </row>
    <row r="1267" spans="6:6" x14ac:dyDescent="0.25">
      <c r="F1267" t="s">
        <v>1713</v>
      </c>
    </row>
    <row r="1268" spans="6:6" x14ac:dyDescent="0.25">
      <c r="F1268" t="s">
        <v>1714</v>
      </c>
    </row>
    <row r="1269" spans="6:6" x14ac:dyDescent="0.25">
      <c r="F1269" t="s">
        <v>1715</v>
      </c>
    </row>
    <row r="1270" spans="6:6" x14ac:dyDescent="0.25">
      <c r="F1270" t="s">
        <v>1716</v>
      </c>
    </row>
    <row r="1271" spans="6:6" x14ac:dyDescent="0.25">
      <c r="F1271" t="s">
        <v>1717</v>
      </c>
    </row>
    <row r="1272" spans="6:6" x14ac:dyDescent="0.25">
      <c r="F1272" t="s">
        <v>1718</v>
      </c>
    </row>
    <row r="1273" spans="6:6" x14ac:dyDescent="0.25">
      <c r="F1273" t="s">
        <v>1719</v>
      </c>
    </row>
    <row r="1274" spans="6:6" x14ac:dyDescent="0.25">
      <c r="F1274" t="s">
        <v>1720</v>
      </c>
    </row>
    <row r="1275" spans="6:6" x14ac:dyDescent="0.25">
      <c r="F1275" t="s">
        <v>1721</v>
      </c>
    </row>
    <row r="1276" spans="6:6" x14ac:dyDescent="0.25">
      <c r="F1276" t="s">
        <v>1722</v>
      </c>
    </row>
    <row r="1277" spans="6:6" x14ac:dyDescent="0.25">
      <c r="F1277" t="s">
        <v>1723</v>
      </c>
    </row>
    <row r="1278" spans="6:6" x14ac:dyDescent="0.25">
      <c r="F1278" t="s">
        <v>1724</v>
      </c>
    </row>
    <row r="1279" spans="6:6" x14ac:dyDescent="0.25">
      <c r="F1279" t="s">
        <v>1725</v>
      </c>
    </row>
    <row r="1280" spans="6:6" x14ac:dyDescent="0.25">
      <c r="F1280" t="s">
        <v>1726</v>
      </c>
    </row>
    <row r="1281" spans="6:6" x14ac:dyDescent="0.25">
      <c r="F1281" t="s">
        <v>1727</v>
      </c>
    </row>
    <row r="1282" spans="6:6" x14ac:dyDescent="0.25">
      <c r="F1282" t="s">
        <v>1728</v>
      </c>
    </row>
    <row r="1283" spans="6:6" x14ac:dyDescent="0.25">
      <c r="F1283" t="s">
        <v>1729</v>
      </c>
    </row>
    <row r="1284" spans="6:6" x14ac:dyDescent="0.25">
      <c r="F1284" t="s">
        <v>1730</v>
      </c>
    </row>
    <row r="1285" spans="6:6" x14ac:dyDescent="0.25">
      <c r="F1285" t="s">
        <v>1731</v>
      </c>
    </row>
    <row r="1286" spans="6:6" x14ac:dyDescent="0.25">
      <c r="F1286" t="s">
        <v>1732</v>
      </c>
    </row>
    <row r="1287" spans="6:6" x14ac:dyDescent="0.25">
      <c r="F1287" t="s">
        <v>1733</v>
      </c>
    </row>
    <row r="1288" spans="6:6" x14ac:dyDescent="0.25">
      <c r="F1288" t="s">
        <v>1734</v>
      </c>
    </row>
    <row r="1289" spans="6:6" x14ac:dyDescent="0.25">
      <c r="F1289" t="s">
        <v>1735</v>
      </c>
    </row>
    <row r="1290" spans="6:6" x14ac:dyDescent="0.25">
      <c r="F1290" t="s">
        <v>1736</v>
      </c>
    </row>
    <row r="1291" spans="6:6" x14ac:dyDescent="0.25">
      <c r="F1291" t="s">
        <v>1737</v>
      </c>
    </row>
    <row r="1292" spans="6:6" x14ac:dyDescent="0.25">
      <c r="F1292" t="s">
        <v>1738</v>
      </c>
    </row>
    <row r="1293" spans="6:6" x14ac:dyDescent="0.25">
      <c r="F1293" t="s">
        <v>1739</v>
      </c>
    </row>
    <row r="1294" spans="6:6" x14ac:dyDescent="0.25">
      <c r="F1294" t="s">
        <v>1740</v>
      </c>
    </row>
    <row r="1295" spans="6:6" x14ac:dyDescent="0.25">
      <c r="F1295" t="s">
        <v>1741</v>
      </c>
    </row>
    <row r="1296" spans="6:6" x14ac:dyDescent="0.25">
      <c r="F1296" t="s">
        <v>1742</v>
      </c>
    </row>
    <row r="1297" spans="6:6" x14ac:dyDescent="0.25">
      <c r="F1297" t="s">
        <v>1743</v>
      </c>
    </row>
    <row r="1298" spans="6:6" x14ac:dyDescent="0.25">
      <c r="F1298" t="s">
        <v>1744</v>
      </c>
    </row>
    <row r="1299" spans="6:6" x14ac:dyDescent="0.25">
      <c r="F1299" t="s">
        <v>1745</v>
      </c>
    </row>
    <row r="1300" spans="6:6" x14ac:dyDescent="0.25">
      <c r="F1300" t="s">
        <v>1746</v>
      </c>
    </row>
    <row r="1301" spans="6:6" x14ac:dyDescent="0.25">
      <c r="F1301" t="s">
        <v>1747</v>
      </c>
    </row>
    <row r="1302" spans="6:6" x14ac:dyDescent="0.25">
      <c r="F1302" t="s">
        <v>1748</v>
      </c>
    </row>
    <row r="1303" spans="6:6" x14ac:dyDescent="0.25">
      <c r="F1303" t="s">
        <v>1749</v>
      </c>
    </row>
    <row r="1304" spans="6:6" x14ac:dyDescent="0.25">
      <c r="F1304" t="s">
        <v>1750</v>
      </c>
    </row>
    <row r="1305" spans="6:6" x14ac:dyDescent="0.25">
      <c r="F1305" t="s">
        <v>1751</v>
      </c>
    </row>
    <row r="1306" spans="6:6" x14ac:dyDescent="0.25">
      <c r="F1306" t="s">
        <v>1752</v>
      </c>
    </row>
    <row r="1307" spans="6:6" x14ac:dyDescent="0.25">
      <c r="F1307" t="s">
        <v>1753</v>
      </c>
    </row>
    <row r="1308" spans="6:6" x14ac:dyDescent="0.25">
      <c r="F1308" t="s">
        <v>44</v>
      </c>
    </row>
    <row r="1309" spans="6:6" x14ac:dyDescent="0.25">
      <c r="F1309" t="s">
        <v>1754</v>
      </c>
    </row>
    <row r="1310" spans="6:6" x14ac:dyDescent="0.25">
      <c r="F1310" t="s">
        <v>42</v>
      </c>
    </row>
    <row r="1311" spans="6:6" x14ac:dyDescent="0.25">
      <c r="F1311" t="s">
        <v>1755</v>
      </c>
    </row>
    <row r="1312" spans="6:6" x14ac:dyDescent="0.25">
      <c r="F1312" t="s">
        <v>1756</v>
      </c>
    </row>
    <row r="1313" spans="6:6" x14ac:dyDescent="0.25">
      <c r="F1313" t="s">
        <v>1757</v>
      </c>
    </row>
    <row r="1314" spans="6:6" x14ac:dyDescent="0.25">
      <c r="F1314" t="s">
        <v>1758</v>
      </c>
    </row>
    <row r="1315" spans="6:6" x14ac:dyDescent="0.25">
      <c r="F1315" t="s">
        <v>1759</v>
      </c>
    </row>
    <row r="1316" spans="6:6" x14ac:dyDescent="0.25">
      <c r="F1316" t="s">
        <v>1760</v>
      </c>
    </row>
    <row r="1317" spans="6:6" x14ac:dyDescent="0.25">
      <c r="F1317" t="s">
        <v>202</v>
      </c>
    </row>
    <row r="1318" spans="6:6" x14ac:dyDescent="0.25">
      <c r="F1318" t="s">
        <v>1761</v>
      </c>
    </row>
    <row r="1319" spans="6:6" x14ac:dyDescent="0.25">
      <c r="F1319" t="s">
        <v>1762</v>
      </c>
    </row>
    <row r="1320" spans="6:6" x14ac:dyDescent="0.25">
      <c r="F1320" t="s">
        <v>1763</v>
      </c>
    </row>
    <row r="1321" spans="6:6" x14ac:dyDescent="0.25">
      <c r="F1321" t="s">
        <v>1764</v>
      </c>
    </row>
    <row r="1322" spans="6:6" x14ac:dyDescent="0.25">
      <c r="F1322" t="s">
        <v>1765</v>
      </c>
    </row>
    <row r="1323" spans="6:6" x14ac:dyDescent="0.25">
      <c r="F1323" t="s">
        <v>1766</v>
      </c>
    </row>
    <row r="1324" spans="6:6" x14ac:dyDescent="0.25">
      <c r="F1324" t="s">
        <v>1767</v>
      </c>
    </row>
    <row r="1325" spans="6:6" x14ac:dyDescent="0.25">
      <c r="F1325" t="s">
        <v>1768</v>
      </c>
    </row>
    <row r="1326" spans="6:6" x14ac:dyDescent="0.25">
      <c r="F1326" t="s">
        <v>1769</v>
      </c>
    </row>
    <row r="1327" spans="6:6" x14ac:dyDescent="0.25">
      <c r="F1327" t="s">
        <v>1770</v>
      </c>
    </row>
    <row r="1328" spans="6:6" x14ac:dyDescent="0.25">
      <c r="F1328" t="s">
        <v>1771</v>
      </c>
    </row>
    <row r="1329" spans="6:6" x14ac:dyDescent="0.25">
      <c r="F1329" t="s">
        <v>1772</v>
      </c>
    </row>
    <row r="1330" spans="6:6" x14ac:dyDescent="0.25">
      <c r="F1330" t="s">
        <v>1773</v>
      </c>
    </row>
    <row r="1331" spans="6:6" x14ac:dyDescent="0.25">
      <c r="F1331" t="s">
        <v>1774</v>
      </c>
    </row>
    <row r="1332" spans="6:6" x14ac:dyDescent="0.25">
      <c r="F1332" t="s">
        <v>1775</v>
      </c>
    </row>
    <row r="1333" spans="6:6" x14ac:dyDescent="0.25">
      <c r="F1333" t="s">
        <v>1776</v>
      </c>
    </row>
    <row r="1334" spans="6:6" x14ac:dyDescent="0.25">
      <c r="F1334" t="s">
        <v>1777</v>
      </c>
    </row>
    <row r="1335" spans="6:6" x14ac:dyDescent="0.25">
      <c r="F1335" t="s">
        <v>1778</v>
      </c>
    </row>
    <row r="1336" spans="6:6" x14ac:dyDescent="0.25">
      <c r="F1336" t="s">
        <v>1779</v>
      </c>
    </row>
    <row r="1337" spans="6:6" x14ac:dyDescent="0.25">
      <c r="F1337" t="s">
        <v>1780</v>
      </c>
    </row>
    <row r="1338" spans="6:6" x14ac:dyDescent="0.25">
      <c r="F1338" t="s">
        <v>1781</v>
      </c>
    </row>
    <row r="1339" spans="6:6" x14ac:dyDescent="0.25">
      <c r="F1339" t="s">
        <v>1782</v>
      </c>
    </row>
    <row r="1340" spans="6:6" x14ac:dyDescent="0.25">
      <c r="F1340" t="s">
        <v>1783</v>
      </c>
    </row>
    <row r="1341" spans="6:6" x14ac:dyDescent="0.25">
      <c r="F1341" t="s">
        <v>1784</v>
      </c>
    </row>
    <row r="1342" spans="6:6" x14ac:dyDescent="0.25">
      <c r="F1342" t="s">
        <v>1785</v>
      </c>
    </row>
    <row r="1343" spans="6:6" x14ac:dyDescent="0.25">
      <c r="F1343" t="s">
        <v>936</v>
      </c>
    </row>
    <row r="1344" spans="6:6" x14ac:dyDescent="0.25">
      <c r="F1344" t="s">
        <v>1786</v>
      </c>
    </row>
    <row r="1345" spans="6:6" x14ac:dyDescent="0.25">
      <c r="F1345" t="s">
        <v>1787</v>
      </c>
    </row>
    <row r="1346" spans="6:6" x14ac:dyDescent="0.25">
      <c r="F1346" t="s">
        <v>1788</v>
      </c>
    </row>
    <row r="1347" spans="6:6" x14ac:dyDescent="0.25">
      <c r="F1347" t="s">
        <v>1789</v>
      </c>
    </row>
    <row r="1348" spans="6:6" x14ac:dyDescent="0.25">
      <c r="F1348" t="s">
        <v>1790</v>
      </c>
    </row>
    <row r="1349" spans="6:6" x14ac:dyDescent="0.25">
      <c r="F1349" t="s">
        <v>69</v>
      </c>
    </row>
    <row r="1350" spans="6:6" x14ac:dyDescent="0.25">
      <c r="F1350" t="s">
        <v>1791</v>
      </c>
    </row>
    <row r="1351" spans="6:6" x14ac:dyDescent="0.25">
      <c r="F1351" t="s">
        <v>1792</v>
      </c>
    </row>
    <row r="1352" spans="6:6" x14ac:dyDescent="0.25">
      <c r="F1352" t="s">
        <v>1793</v>
      </c>
    </row>
    <row r="1353" spans="6:6" x14ac:dyDescent="0.25">
      <c r="F1353" t="s">
        <v>1794</v>
      </c>
    </row>
    <row r="1354" spans="6:6" x14ac:dyDescent="0.25">
      <c r="F1354" t="s">
        <v>1795</v>
      </c>
    </row>
    <row r="1355" spans="6:6" x14ac:dyDescent="0.25">
      <c r="F1355" t="s">
        <v>112</v>
      </c>
    </row>
    <row r="1356" spans="6:6" x14ac:dyDescent="0.25">
      <c r="F1356" t="s">
        <v>1796</v>
      </c>
    </row>
    <row r="1357" spans="6:6" x14ac:dyDescent="0.25">
      <c r="F1357" t="s">
        <v>1797</v>
      </c>
    </row>
    <row r="1358" spans="6:6" x14ac:dyDescent="0.25">
      <c r="F1358" t="s">
        <v>1798</v>
      </c>
    </row>
    <row r="1359" spans="6:6" x14ac:dyDescent="0.25">
      <c r="F1359" t="s">
        <v>48</v>
      </c>
    </row>
    <row r="1360" spans="6:6" x14ac:dyDescent="0.25">
      <c r="F1360" t="s">
        <v>1799</v>
      </c>
    </row>
    <row r="1361" spans="6:6" x14ac:dyDescent="0.25">
      <c r="F1361" t="s">
        <v>1800</v>
      </c>
    </row>
    <row r="1362" spans="6:6" x14ac:dyDescent="0.25">
      <c r="F1362" t="s">
        <v>1801</v>
      </c>
    </row>
    <row r="1363" spans="6:6" x14ac:dyDescent="0.25">
      <c r="F1363" t="s">
        <v>1802</v>
      </c>
    </row>
    <row r="1364" spans="6:6" x14ac:dyDescent="0.25">
      <c r="F1364" t="s">
        <v>1803</v>
      </c>
    </row>
    <row r="1365" spans="6:6" x14ac:dyDescent="0.25">
      <c r="F1365" t="s">
        <v>1804</v>
      </c>
    </row>
    <row r="1366" spans="6:6" x14ac:dyDescent="0.25">
      <c r="F1366" t="s">
        <v>1805</v>
      </c>
    </row>
    <row r="1367" spans="6:6" x14ac:dyDescent="0.25">
      <c r="F1367" t="s">
        <v>1806</v>
      </c>
    </row>
    <row r="1368" spans="6:6" x14ac:dyDescent="0.25">
      <c r="F1368" t="s">
        <v>1807</v>
      </c>
    </row>
    <row r="1369" spans="6:6" x14ac:dyDescent="0.25">
      <c r="F1369" t="s">
        <v>1808</v>
      </c>
    </row>
    <row r="1370" spans="6:6" x14ac:dyDescent="0.25">
      <c r="F1370" t="s">
        <v>1809</v>
      </c>
    </row>
    <row r="1371" spans="6:6" x14ac:dyDescent="0.25">
      <c r="F1371" t="s">
        <v>1810</v>
      </c>
    </row>
    <row r="1372" spans="6:6" x14ac:dyDescent="0.25">
      <c r="F1372" t="s">
        <v>1811</v>
      </c>
    </row>
    <row r="1373" spans="6:6" x14ac:dyDescent="0.25">
      <c r="F1373" t="s">
        <v>1812</v>
      </c>
    </row>
    <row r="1374" spans="6:6" x14ac:dyDescent="0.25">
      <c r="F1374" t="s">
        <v>4</v>
      </c>
    </row>
    <row r="1375" spans="6:6" x14ac:dyDescent="0.25">
      <c r="F1375" t="s">
        <v>1813</v>
      </c>
    </row>
    <row r="1376" spans="6:6" x14ac:dyDescent="0.25">
      <c r="F1376" t="s">
        <v>1814</v>
      </c>
    </row>
    <row r="1377" spans="6:6" x14ac:dyDescent="0.25">
      <c r="F1377" t="s">
        <v>1815</v>
      </c>
    </row>
    <row r="1378" spans="6:6" x14ac:dyDescent="0.25">
      <c r="F1378" t="s">
        <v>1816</v>
      </c>
    </row>
    <row r="1379" spans="6:6" x14ac:dyDescent="0.25">
      <c r="F1379" t="s">
        <v>1817</v>
      </c>
    </row>
    <row r="1380" spans="6:6" x14ac:dyDescent="0.25">
      <c r="F1380" t="s">
        <v>1818</v>
      </c>
    </row>
    <row r="1381" spans="6:6" x14ac:dyDescent="0.25">
      <c r="F1381" t="s">
        <v>1819</v>
      </c>
    </row>
    <row r="1382" spans="6:6" x14ac:dyDescent="0.25">
      <c r="F1382" t="s">
        <v>1820</v>
      </c>
    </row>
    <row r="1383" spans="6:6" x14ac:dyDescent="0.25">
      <c r="F1383" t="s">
        <v>1821</v>
      </c>
    </row>
    <row r="1384" spans="6:6" x14ac:dyDescent="0.25">
      <c r="F1384" t="s">
        <v>1822</v>
      </c>
    </row>
    <row r="1385" spans="6:6" x14ac:dyDescent="0.25">
      <c r="F1385" t="s">
        <v>1823</v>
      </c>
    </row>
    <row r="1386" spans="6:6" x14ac:dyDescent="0.25">
      <c r="F1386" t="s">
        <v>1824</v>
      </c>
    </row>
    <row r="1387" spans="6:6" x14ac:dyDescent="0.25">
      <c r="F1387" t="s">
        <v>1825</v>
      </c>
    </row>
    <row r="1388" spans="6:6" x14ac:dyDescent="0.25">
      <c r="F1388" t="s">
        <v>1826</v>
      </c>
    </row>
    <row r="1389" spans="6:6" x14ac:dyDescent="0.25">
      <c r="F1389" t="s">
        <v>1827</v>
      </c>
    </row>
    <row r="1390" spans="6:6" x14ac:dyDescent="0.25">
      <c r="F1390" t="s">
        <v>1828</v>
      </c>
    </row>
    <row r="1391" spans="6:6" x14ac:dyDescent="0.25">
      <c r="F1391" t="s">
        <v>1829</v>
      </c>
    </row>
    <row r="1392" spans="6:6" x14ac:dyDescent="0.25">
      <c r="F1392" t="s">
        <v>1830</v>
      </c>
    </row>
    <row r="1393" spans="6:6" x14ac:dyDescent="0.25">
      <c r="F1393" t="s">
        <v>1831</v>
      </c>
    </row>
    <row r="1394" spans="6:6" x14ac:dyDescent="0.25">
      <c r="F1394" t="s">
        <v>1832</v>
      </c>
    </row>
    <row r="1395" spans="6:6" x14ac:dyDescent="0.25">
      <c r="F1395" t="s">
        <v>1833</v>
      </c>
    </row>
    <row r="1396" spans="6:6" x14ac:dyDescent="0.25">
      <c r="F1396" t="s">
        <v>1834</v>
      </c>
    </row>
    <row r="1397" spans="6:6" x14ac:dyDescent="0.25">
      <c r="F1397" t="s">
        <v>1835</v>
      </c>
    </row>
    <row r="1398" spans="6:6" x14ac:dyDescent="0.25">
      <c r="F1398" t="s">
        <v>1836</v>
      </c>
    </row>
    <row r="1399" spans="6:6" x14ac:dyDescent="0.25">
      <c r="F1399" t="s">
        <v>1837</v>
      </c>
    </row>
    <row r="1400" spans="6:6" x14ac:dyDescent="0.25">
      <c r="F1400" t="s">
        <v>1838</v>
      </c>
    </row>
    <row r="1401" spans="6:6" x14ac:dyDescent="0.25">
      <c r="F1401" t="s">
        <v>1839</v>
      </c>
    </row>
    <row r="1402" spans="6:6" x14ac:dyDescent="0.25">
      <c r="F1402" t="s">
        <v>1840</v>
      </c>
    </row>
    <row r="1403" spans="6:6" x14ac:dyDescent="0.25">
      <c r="F1403" t="s">
        <v>1841</v>
      </c>
    </row>
    <row r="1404" spans="6:6" x14ac:dyDescent="0.25">
      <c r="F1404" t="s">
        <v>1842</v>
      </c>
    </row>
    <row r="1405" spans="6:6" x14ac:dyDescent="0.25">
      <c r="F1405" t="s">
        <v>1843</v>
      </c>
    </row>
    <row r="1406" spans="6:6" x14ac:dyDescent="0.25">
      <c r="F1406" t="s">
        <v>1844</v>
      </c>
    </row>
    <row r="1407" spans="6:6" x14ac:dyDescent="0.25">
      <c r="F1407" t="s">
        <v>1845</v>
      </c>
    </row>
    <row r="1408" spans="6:6" x14ac:dyDescent="0.25">
      <c r="F1408" t="s">
        <v>1846</v>
      </c>
    </row>
    <row r="1409" spans="6:6" x14ac:dyDescent="0.25">
      <c r="F1409" t="s">
        <v>1847</v>
      </c>
    </row>
    <row r="1410" spans="6:6" x14ac:dyDescent="0.25">
      <c r="F1410" t="s">
        <v>1848</v>
      </c>
    </row>
    <row r="1411" spans="6:6" x14ac:dyDescent="0.25">
      <c r="F1411" t="s">
        <v>1849</v>
      </c>
    </row>
    <row r="1412" spans="6:6" x14ac:dyDescent="0.25">
      <c r="F1412" t="s">
        <v>1850</v>
      </c>
    </row>
    <row r="1413" spans="6:6" x14ac:dyDescent="0.25">
      <c r="F1413" t="s">
        <v>1851</v>
      </c>
    </row>
    <row r="1414" spans="6:6" x14ac:dyDescent="0.25">
      <c r="F1414" t="s">
        <v>1852</v>
      </c>
    </row>
    <row r="1415" spans="6:6" x14ac:dyDescent="0.25">
      <c r="F1415" t="s">
        <v>1853</v>
      </c>
    </row>
    <row r="1416" spans="6:6" x14ac:dyDescent="0.25">
      <c r="F1416" t="s">
        <v>1854</v>
      </c>
    </row>
    <row r="1417" spans="6:6" x14ac:dyDescent="0.25">
      <c r="F1417" t="s">
        <v>1855</v>
      </c>
    </row>
    <row r="1418" spans="6:6" x14ac:dyDescent="0.25">
      <c r="F1418" t="s">
        <v>1856</v>
      </c>
    </row>
    <row r="1419" spans="6:6" x14ac:dyDescent="0.25">
      <c r="F1419" t="s">
        <v>1857</v>
      </c>
    </row>
    <row r="1420" spans="6:6" x14ac:dyDescent="0.25">
      <c r="F1420" t="s">
        <v>1858</v>
      </c>
    </row>
    <row r="1421" spans="6:6" x14ac:dyDescent="0.25">
      <c r="F1421" t="s">
        <v>1859</v>
      </c>
    </row>
    <row r="1422" spans="6:6" x14ac:dyDescent="0.25">
      <c r="F1422" t="s">
        <v>989</v>
      </c>
    </row>
    <row r="1423" spans="6:6" x14ac:dyDescent="0.25">
      <c r="F1423" t="s">
        <v>1860</v>
      </c>
    </row>
    <row r="1424" spans="6:6" x14ac:dyDescent="0.25">
      <c r="F1424" t="s">
        <v>1861</v>
      </c>
    </row>
    <row r="1425" spans="6:6" x14ac:dyDescent="0.25">
      <c r="F1425" t="s">
        <v>1862</v>
      </c>
    </row>
    <row r="1426" spans="6:6" x14ac:dyDescent="0.25">
      <c r="F1426" t="s">
        <v>1863</v>
      </c>
    </row>
    <row r="1427" spans="6:6" x14ac:dyDescent="0.25">
      <c r="F1427" t="s">
        <v>96</v>
      </c>
    </row>
    <row r="1428" spans="6:6" x14ac:dyDescent="0.25">
      <c r="F1428" t="s">
        <v>1864</v>
      </c>
    </row>
    <row r="1429" spans="6:6" x14ac:dyDescent="0.25">
      <c r="F1429" t="s">
        <v>1865</v>
      </c>
    </row>
    <row r="1430" spans="6:6" x14ac:dyDescent="0.25">
      <c r="F1430" t="s">
        <v>1866</v>
      </c>
    </row>
    <row r="1431" spans="6:6" x14ac:dyDescent="0.25">
      <c r="F1431" t="s">
        <v>1867</v>
      </c>
    </row>
    <row r="1432" spans="6:6" x14ac:dyDescent="0.25">
      <c r="F1432" t="s">
        <v>1868</v>
      </c>
    </row>
    <row r="1433" spans="6:6" x14ac:dyDescent="0.25">
      <c r="F1433" t="s">
        <v>1869</v>
      </c>
    </row>
    <row r="1434" spans="6:6" x14ac:dyDescent="0.25">
      <c r="F1434" t="s">
        <v>1870</v>
      </c>
    </row>
    <row r="1435" spans="6:6" x14ac:dyDescent="0.25">
      <c r="F1435" t="s">
        <v>909</v>
      </c>
    </row>
    <row r="1436" spans="6:6" x14ac:dyDescent="0.25">
      <c r="F1436" t="s">
        <v>1871</v>
      </c>
    </row>
    <row r="1437" spans="6:6" x14ac:dyDescent="0.25">
      <c r="F1437" t="s">
        <v>1872</v>
      </c>
    </row>
    <row r="1438" spans="6:6" x14ac:dyDescent="0.25">
      <c r="F1438" t="s">
        <v>1873</v>
      </c>
    </row>
    <row r="1439" spans="6:6" x14ac:dyDescent="0.25">
      <c r="F1439" t="s">
        <v>1874</v>
      </c>
    </row>
    <row r="1440" spans="6:6" x14ac:dyDescent="0.25">
      <c r="F1440" t="s">
        <v>1875</v>
      </c>
    </row>
    <row r="1441" spans="6:6" x14ac:dyDescent="0.25">
      <c r="F1441" t="s">
        <v>1876</v>
      </c>
    </row>
    <row r="1442" spans="6:6" x14ac:dyDescent="0.25">
      <c r="F1442" t="s">
        <v>1877</v>
      </c>
    </row>
    <row r="1443" spans="6:6" x14ac:dyDescent="0.25">
      <c r="F1443" t="s">
        <v>1878</v>
      </c>
    </row>
    <row r="1444" spans="6:6" x14ac:dyDescent="0.25">
      <c r="F1444" t="s">
        <v>1879</v>
      </c>
    </row>
    <row r="1445" spans="6:6" x14ac:dyDescent="0.25">
      <c r="F1445" t="s">
        <v>1880</v>
      </c>
    </row>
    <row r="1446" spans="6:6" x14ac:dyDescent="0.25">
      <c r="F1446" t="s">
        <v>1881</v>
      </c>
    </row>
    <row r="1447" spans="6:6" x14ac:dyDescent="0.25">
      <c r="F1447" t="s">
        <v>1882</v>
      </c>
    </row>
    <row r="1448" spans="6:6" x14ac:dyDescent="0.25">
      <c r="F1448" t="s">
        <v>1883</v>
      </c>
    </row>
    <row r="1449" spans="6:6" x14ac:dyDescent="0.25">
      <c r="F1449" t="s">
        <v>1884</v>
      </c>
    </row>
    <row r="1450" spans="6:6" x14ac:dyDescent="0.25">
      <c r="F1450" t="s">
        <v>1885</v>
      </c>
    </row>
    <row r="1451" spans="6:6" x14ac:dyDescent="0.25">
      <c r="F1451" t="s">
        <v>1886</v>
      </c>
    </row>
    <row r="1452" spans="6:6" x14ac:dyDescent="0.25">
      <c r="F1452" t="s">
        <v>1887</v>
      </c>
    </row>
    <row r="1453" spans="6:6" x14ac:dyDescent="0.25">
      <c r="F1453" t="s">
        <v>1888</v>
      </c>
    </row>
    <row r="1454" spans="6:6" x14ac:dyDescent="0.25">
      <c r="F1454" t="s">
        <v>1889</v>
      </c>
    </row>
    <row r="1455" spans="6:6" x14ac:dyDescent="0.25">
      <c r="F1455" t="s">
        <v>1890</v>
      </c>
    </row>
    <row r="1456" spans="6:6" x14ac:dyDescent="0.25">
      <c r="F1456" t="s">
        <v>1891</v>
      </c>
    </row>
    <row r="1457" spans="6:6" x14ac:dyDescent="0.25">
      <c r="F1457" t="s">
        <v>1892</v>
      </c>
    </row>
    <row r="1458" spans="6:6" x14ac:dyDescent="0.25">
      <c r="F1458" t="s">
        <v>1893</v>
      </c>
    </row>
    <row r="1459" spans="6:6" x14ac:dyDescent="0.25">
      <c r="F1459" t="s">
        <v>1894</v>
      </c>
    </row>
    <row r="1460" spans="6:6" x14ac:dyDescent="0.25">
      <c r="F1460" t="s">
        <v>1895</v>
      </c>
    </row>
    <row r="1461" spans="6:6" x14ac:dyDescent="0.25">
      <c r="F1461" t="s">
        <v>1896</v>
      </c>
    </row>
    <row r="1462" spans="6:6" x14ac:dyDescent="0.25">
      <c r="F1462" t="s">
        <v>1897</v>
      </c>
    </row>
    <row r="1463" spans="6:6" x14ac:dyDescent="0.25">
      <c r="F1463" t="s">
        <v>1898</v>
      </c>
    </row>
    <row r="1464" spans="6:6" x14ac:dyDescent="0.25">
      <c r="F1464" t="s">
        <v>1899</v>
      </c>
    </row>
    <row r="1465" spans="6:6" x14ac:dyDescent="0.25">
      <c r="F1465" t="s">
        <v>1900</v>
      </c>
    </row>
    <row r="1466" spans="6:6" x14ac:dyDescent="0.25">
      <c r="F1466" t="s">
        <v>1901</v>
      </c>
    </row>
    <row r="1467" spans="6:6" x14ac:dyDescent="0.25">
      <c r="F1467" t="s">
        <v>1902</v>
      </c>
    </row>
    <row r="1468" spans="6:6" x14ac:dyDescent="0.25">
      <c r="F1468" t="s">
        <v>1903</v>
      </c>
    </row>
    <row r="1469" spans="6:6" x14ac:dyDescent="0.25">
      <c r="F1469" t="s">
        <v>1904</v>
      </c>
    </row>
    <row r="1470" spans="6:6" x14ac:dyDescent="0.25">
      <c r="F1470" t="s">
        <v>1905</v>
      </c>
    </row>
    <row r="1471" spans="6:6" x14ac:dyDescent="0.25">
      <c r="F1471" t="s">
        <v>1906</v>
      </c>
    </row>
    <row r="1472" spans="6:6" x14ac:dyDescent="0.25">
      <c r="F1472" t="s">
        <v>1907</v>
      </c>
    </row>
    <row r="1473" spans="6:6" x14ac:dyDescent="0.25">
      <c r="F1473" t="s">
        <v>1908</v>
      </c>
    </row>
    <row r="1474" spans="6:6" x14ac:dyDescent="0.25">
      <c r="F1474" t="s">
        <v>1909</v>
      </c>
    </row>
    <row r="1475" spans="6:6" x14ac:dyDescent="0.25">
      <c r="F1475" t="s">
        <v>1910</v>
      </c>
    </row>
    <row r="1476" spans="6:6" x14ac:dyDescent="0.25">
      <c r="F1476" t="s">
        <v>1911</v>
      </c>
    </row>
    <row r="1477" spans="6:6" x14ac:dyDescent="0.25">
      <c r="F1477" t="s">
        <v>1912</v>
      </c>
    </row>
    <row r="1478" spans="6:6" x14ac:dyDescent="0.25">
      <c r="F1478" t="s">
        <v>1913</v>
      </c>
    </row>
    <row r="1479" spans="6:6" x14ac:dyDescent="0.25">
      <c r="F1479" t="s">
        <v>1914</v>
      </c>
    </row>
    <row r="1480" spans="6:6" x14ac:dyDescent="0.25">
      <c r="F1480" t="s">
        <v>1915</v>
      </c>
    </row>
    <row r="1481" spans="6:6" x14ac:dyDescent="0.25">
      <c r="F1481" t="s">
        <v>1916</v>
      </c>
    </row>
    <row r="1482" spans="6:6" x14ac:dyDescent="0.25">
      <c r="F1482" t="s">
        <v>1917</v>
      </c>
    </row>
    <row r="1483" spans="6:6" x14ac:dyDescent="0.25">
      <c r="F1483" t="s">
        <v>1918</v>
      </c>
    </row>
    <row r="1484" spans="6:6" x14ac:dyDescent="0.25">
      <c r="F1484" t="s">
        <v>1919</v>
      </c>
    </row>
    <row r="1485" spans="6:6" x14ac:dyDescent="0.25">
      <c r="F1485" t="s">
        <v>1920</v>
      </c>
    </row>
    <row r="1486" spans="6:6" x14ac:dyDescent="0.25">
      <c r="F1486" t="s">
        <v>1921</v>
      </c>
    </row>
    <row r="1487" spans="6:6" x14ac:dyDescent="0.25">
      <c r="F1487" t="s">
        <v>1922</v>
      </c>
    </row>
    <row r="1488" spans="6:6" x14ac:dyDescent="0.25">
      <c r="F1488" t="s">
        <v>1923</v>
      </c>
    </row>
    <row r="1489" spans="6:6" x14ac:dyDescent="0.25">
      <c r="F1489" t="s">
        <v>1924</v>
      </c>
    </row>
    <row r="1490" spans="6:6" x14ac:dyDescent="0.25">
      <c r="F1490" t="s">
        <v>1925</v>
      </c>
    </row>
    <row r="1491" spans="6:6" x14ac:dyDescent="0.25">
      <c r="F1491" t="s">
        <v>1926</v>
      </c>
    </row>
    <row r="1492" spans="6:6" x14ac:dyDescent="0.25">
      <c r="F1492" t="s">
        <v>1927</v>
      </c>
    </row>
    <row r="1493" spans="6:6" x14ac:dyDescent="0.25">
      <c r="F1493" t="s">
        <v>1928</v>
      </c>
    </row>
    <row r="1494" spans="6:6" x14ac:dyDescent="0.25">
      <c r="F1494" t="s">
        <v>1929</v>
      </c>
    </row>
    <row r="1495" spans="6:6" x14ac:dyDescent="0.25">
      <c r="F1495" t="s">
        <v>1930</v>
      </c>
    </row>
    <row r="1496" spans="6:6" x14ac:dyDescent="0.25">
      <c r="F1496" t="s">
        <v>1931</v>
      </c>
    </row>
    <row r="1497" spans="6:6" x14ac:dyDescent="0.25">
      <c r="F1497" t="s">
        <v>1932</v>
      </c>
    </row>
    <row r="1498" spans="6:6" x14ac:dyDescent="0.25">
      <c r="F1498" t="s">
        <v>1933</v>
      </c>
    </row>
    <row r="1499" spans="6:6" x14ac:dyDescent="0.25">
      <c r="F1499" t="s">
        <v>1934</v>
      </c>
    </row>
    <row r="1500" spans="6:6" x14ac:dyDescent="0.25">
      <c r="F1500" t="s">
        <v>1935</v>
      </c>
    </row>
    <row r="1501" spans="6:6" x14ac:dyDescent="0.25">
      <c r="F1501" t="s">
        <v>1936</v>
      </c>
    </row>
    <row r="1502" spans="6:6" x14ac:dyDescent="0.25">
      <c r="F1502" t="s">
        <v>1937</v>
      </c>
    </row>
    <row r="1503" spans="6:6" x14ac:dyDescent="0.25">
      <c r="F1503" t="s">
        <v>1938</v>
      </c>
    </row>
    <row r="1504" spans="6:6" x14ac:dyDescent="0.25">
      <c r="F1504" t="s">
        <v>1939</v>
      </c>
    </row>
    <row r="1505" spans="6:6" x14ac:dyDescent="0.25">
      <c r="F1505" t="s">
        <v>1940</v>
      </c>
    </row>
    <row r="1506" spans="6:6" x14ac:dyDescent="0.25">
      <c r="F1506" t="s">
        <v>1941</v>
      </c>
    </row>
    <row r="1507" spans="6:6" x14ac:dyDescent="0.25">
      <c r="F1507" t="s">
        <v>1942</v>
      </c>
    </row>
    <row r="1508" spans="6:6" x14ac:dyDescent="0.25">
      <c r="F1508" t="s">
        <v>1943</v>
      </c>
    </row>
    <row r="1509" spans="6:6" x14ac:dyDescent="0.25">
      <c r="F1509" t="s">
        <v>1944</v>
      </c>
    </row>
    <row r="1510" spans="6:6" x14ac:dyDescent="0.25">
      <c r="F1510" t="s">
        <v>1945</v>
      </c>
    </row>
    <row r="1511" spans="6:6" x14ac:dyDescent="0.25">
      <c r="F1511" t="s">
        <v>1946</v>
      </c>
    </row>
    <row r="1512" spans="6:6" x14ac:dyDescent="0.25">
      <c r="F1512" t="s">
        <v>1947</v>
      </c>
    </row>
    <row r="1513" spans="6:6" x14ac:dyDescent="0.25">
      <c r="F1513" t="s">
        <v>1948</v>
      </c>
    </row>
    <row r="1514" spans="6:6" x14ac:dyDescent="0.25">
      <c r="F1514" t="s">
        <v>1949</v>
      </c>
    </row>
    <row r="1515" spans="6:6" x14ac:dyDescent="0.25">
      <c r="F1515" t="s">
        <v>1950</v>
      </c>
    </row>
    <row r="1516" spans="6:6" x14ac:dyDescent="0.25">
      <c r="F1516" t="s">
        <v>1951</v>
      </c>
    </row>
    <row r="1517" spans="6:6" x14ac:dyDescent="0.25">
      <c r="F1517" t="s">
        <v>1952</v>
      </c>
    </row>
    <row r="1518" spans="6:6" x14ac:dyDescent="0.25">
      <c r="F1518" t="s">
        <v>1953</v>
      </c>
    </row>
    <row r="1519" spans="6:6" x14ac:dyDescent="0.25">
      <c r="F1519" t="s">
        <v>1954</v>
      </c>
    </row>
    <row r="1520" spans="6:6" x14ac:dyDescent="0.25">
      <c r="F1520" t="s">
        <v>1955</v>
      </c>
    </row>
    <row r="1521" spans="6:6" x14ac:dyDescent="0.25">
      <c r="F1521" t="s">
        <v>1956</v>
      </c>
    </row>
    <row r="1522" spans="6:6" x14ac:dyDescent="0.25">
      <c r="F1522" t="s">
        <v>1957</v>
      </c>
    </row>
    <row r="1523" spans="6:6" x14ac:dyDescent="0.25">
      <c r="F1523" t="s">
        <v>1958</v>
      </c>
    </row>
    <row r="1524" spans="6:6" x14ac:dyDescent="0.25">
      <c r="F1524" t="s">
        <v>1959</v>
      </c>
    </row>
    <row r="1525" spans="6:6" x14ac:dyDescent="0.25">
      <c r="F1525" t="s">
        <v>1960</v>
      </c>
    </row>
    <row r="1526" spans="6:6" x14ac:dyDescent="0.25">
      <c r="F1526" t="s">
        <v>1961</v>
      </c>
    </row>
    <row r="1527" spans="6:6" x14ac:dyDescent="0.25">
      <c r="F1527" t="s">
        <v>1962</v>
      </c>
    </row>
    <row r="1528" spans="6:6" x14ac:dyDescent="0.25">
      <c r="F1528" t="s">
        <v>1963</v>
      </c>
    </row>
    <row r="1529" spans="6:6" x14ac:dyDescent="0.25">
      <c r="F1529" t="s">
        <v>1964</v>
      </c>
    </row>
    <row r="1530" spans="6:6" x14ac:dyDescent="0.25">
      <c r="F1530" t="s">
        <v>1965</v>
      </c>
    </row>
    <row r="1531" spans="6:6" x14ac:dyDescent="0.25">
      <c r="F1531" t="s">
        <v>1966</v>
      </c>
    </row>
    <row r="1532" spans="6:6" x14ac:dyDescent="0.25">
      <c r="F1532" t="s">
        <v>1967</v>
      </c>
    </row>
    <row r="1533" spans="6:6" x14ac:dyDescent="0.25">
      <c r="F1533" t="s">
        <v>1968</v>
      </c>
    </row>
    <row r="1534" spans="6:6" x14ac:dyDescent="0.25">
      <c r="F1534" t="s">
        <v>1969</v>
      </c>
    </row>
    <row r="1535" spans="6:6" x14ac:dyDescent="0.25">
      <c r="F1535" t="s">
        <v>1970</v>
      </c>
    </row>
    <row r="1536" spans="6:6" x14ac:dyDescent="0.25">
      <c r="F1536" t="s">
        <v>1971</v>
      </c>
    </row>
    <row r="1537" spans="6:6" x14ac:dyDescent="0.25">
      <c r="F1537" t="s">
        <v>1972</v>
      </c>
    </row>
    <row r="1538" spans="6:6" x14ac:dyDescent="0.25">
      <c r="F1538" t="s">
        <v>1973</v>
      </c>
    </row>
    <row r="1539" spans="6:6" x14ac:dyDescent="0.25">
      <c r="F1539" t="s">
        <v>1974</v>
      </c>
    </row>
    <row r="1540" spans="6:6" x14ac:dyDescent="0.25">
      <c r="F1540" t="s">
        <v>1975</v>
      </c>
    </row>
    <row r="1541" spans="6:6" x14ac:dyDescent="0.25">
      <c r="F1541" t="s">
        <v>1976</v>
      </c>
    </row>
    <row r="1542" spans="6:6" x14ac:dyDescent="0.25">
      <c r="F1542" t="s">
        <v>1977</v>
      </c>
    </row>
    <row r="1543" spans="6:6" x14ac:dyDescent="0.25">
      <c r="F1543" t="s">
        <v>1978</v>
      </c>
    </row>
    <row r="1544" spans="6:6" x14ac:dyDescent="0.25">
      <c r="F1544" t="s">
        <v>1979</v>
      </c>
    </row>
    <row r="1545" spans="6:6" x14ac:dyDescent="0.25">
      <c r="F1545" t="s">
        <v>1980</v>
      </c>
    </row>
    <row r="1546" spans="6:6" x14ac:dyDescent="0.25">
      <c r="F1546" t="s">
        <v>1981</v>
      </c>
    </row>
    <row r="1547" spans="6:6" x14ac:dyDescent="0.25">
      <c r="F1547" t="s">
        <v>1982</v>
      </c>
    </row>
    <row r="1548" spans="6:6" x14ac:dyDescent="0.25">
      <c r="F1548" t="s">
        <v>1983</v>
      </c>
    </row>
    <row r="1549" spans="6:6" x14ac:dyDescent="0.25">
      <c r="F1549" t="s">
        <v>1984</v>
      </c>
    </row>
    <row r="1550" spans="6:6" x14ac:dyDescent="0.25">
      <c r="F1550" t="s">
        <v>1985</v>
      </c>
    </row>
    <row r="1551" spans="6:6" x14ac:dyDescent="0.25">
      <c r="F1551" t="s">
        <v>1986</v>
      </c>
    </row>
    <row r="1552" spans="6:6" x14ac:dyDescent="0.25">
      <c r="F1552" t="s">
        <v>1987</v>
      </c>
    </row>
    <row r="1553" spans="6:6" x14ac:dyDescent="0.25">
      <c r="F1553" t="s">
        <v>1988</v>
      </c>
    </row>
    <row r="1554" spans="6:6" x14ac:dyDescent="0.25">
      <c r="F1554" t="s">
        <v>1989</v>
      </c>
    </row>
    <row r="1555" spans="6:6" x14ac:dyDescent="0.25">
      <c r="F1555" t="s">
        <v>1990</v>
      </c>
    </row>
    <row r="1556" spans="6:6" x14ac:dyDescent="0.25">
      <c r="F1556" t="s">
        <v>1991</v>
      </c>
    </row>
    <row r="1557" spans="6:6" x14ac:dyDescent="0.25">
      <c r="F1557" t="s">
        <v>1992</v>
      </c>
    </row>
    <row r="1558" spans="6:6" x14ac:dyDescent="0.25">
      <c r="F1558" t="s">
        <v>1993</v>
      </c>
    </row>
    <row r="1559" spans="6:6" x14ac:dyDescent="0.25">
      <c r="F1559" t="s">
        <v>1994</v>
      </c>
    </row>
    <row r="1560" spans="6:6" x14ac:dyDescent="0.25">
      <c r="F1560" t="s">
        <v>1995</v>
      </c>
    </row>
    <row r="1561" spans="6:6" x14ac:dyDescent="0.25">
      <c r="F1561" t="s">
        <v>1996</v>
      </c>
    </row>
    <row r="1562" spans="6:6" x14ac:dyDescent="0.25">
      <c r="F1562" t="s">
        <v>1997</v>
      </c>
    </row>
    <row r="1563" spans="6:6" x14ac:dyDescent="0.25">
      <c r="F1563" t="s">
        <v>1998</v>
      </c>
    </row>
    <row r="1564" spans="6:6" x14ac:dyDescent="0.25">
      <c r="F1564" t="s">
        <v>1999</v>
      </c>
    </row>
    <row r="1565" spans="6:6" x14ac:dyDescent="0.25">
      <c r="F1565" t="s">
        <v>2000</v>
      </c>
    </row>
    <row r="1566" spans="6:6" x14ac:dyDescent="0.25">
      <c r="F1566" t="s">
        <v>2001</v>
      </c>
    </row>
    <row r="1567" spans="6:6" x14ac:dyDescent="0.25">
      <c r="F1567" t="s">
        <v>2002</v>
      </c>
    </row>
    <row r="1568" spans="6:6" x14ac:dyDescent="0.25">
      <c r="F1568" t="s">
        <v>2003</v>
      </c>
    </row>
    <row r="1569" spans="6:6" x14ac:dyDescent="0.25">
      <c r="F1569" t="s">
        <v>2004</v>
      </c>
    </row>
    <row r="1570" spans="6:6" x14ac:dyDescent="0.25">
      <c r="F1570" t="s">
        <v>2005</v>
      </c>
    </row>
    <row r="1571" spans="6:6" x14ac:dyDescent="0.25">
      <c r="F1571" t="s">
        <v>2006</v>
      </c>
    </row>
    <row r="1572" spans="6:6" x14ac:dyDescent="0.25">
      <c r="F1572" t="s">
        <v>2007</v>
      </c>
    </row>
    <row r="1573" spans="6:6" x14ac:dyDescent="0.25">
      <c r="F1573" t="s">
        <v>2008</v>
      </c>
    </row>
    <row r="1574" spans="6:6" x14ac:dyDescent="0.25">
      <c r="F1574" t="s">
        <v>2009</v>
      </c>
    </row>
    <row r="1575" spans="6:6" x14ac:dyDescent="0.25">
      <c r="F1575" t="s">
        <v>134</v>
      </c>
    </row>
    <row r="1576" spans="6:6" x14ac:dyDescent="0.25">
      <c r="F1576" t="s">
        <v>2010</v>
      </c>
    </row>
    <row r="1577" spans="6:6" x14ac:dyDescent="0.25">
      <c r="F1577" t="s">
        <v>2011</v>
      </c>
    </row>
    <row r="1578" spans="6:6" x14ac:dyDescent="0.25">
      <c r="F1578" t="s">
        <v>2012</v>
      </c>
    </row>
    <row r="1579" spans="6:6" x14ac:dyDescent="0.25">
      <c r="F1579" t="s">
        <v>2013</v>
      </c>
    </row>
    <row r="1580" spans="6:6" x14ac:dyDescent="0.25">
      <c r="F1580" t="s">
        <v>2014</v>
      </c>
    </row>
    <row r="1581" spans="6:6" x14ac:dyDescent="0.25">
      <c r="F1581" t="s">
        <v>2015</v>
      </c>
    </row>
    <row r="1582" spans="6:6" x14ac:dyDescent="0.25">
      <c r="F1582" t="s">
        <v>2016</v>
      </c>
    </row>
    <row r="1583" spans="6:6" x14ac:dyDescent="0.25">
      <c r="F1583" t="s">
        <v>2017</v>
      </c>
    </row>
    <row r="1584" spans="6:6" x14ac:dyDescent="0.25">
      <c r="F1584" t="s">
        <v>2018</v>
      </c>
    </row>
    <row r="1585" spans="6:6" x14ac:dyDescent="0.25">
      <c r="F1585" t="s">
        <v>2019</v>
      </c>
    </row>
    <row r="1586" spans="6:6" x14ac:dyDescent="0.25">
      <c r="F1586" t="s">
        <v>2020</v>
      </c>
    </row>
    <row r="1587" spans="6:6" x14ac:dyDescent="0.25">
      <c r="F1587" t="s">
        <v>2021</v>
      </c>
    </row>
    <row r="1588" spans="6:6" x14ac:dyDescent="0.25">
      <c r="F1588" t="s">
        <v>2022</v>
      </c>
    </row>
    <row r="1589" spans="6:6" x14ac:dyDescent="0.25">
      <c r="F1589" t="s">
        <v>2023</v>
      </c>
    </row>
    <row r="1590" spans="6:6" x14ac:dyDescent="0.25">
      <c r="F1590" t="s">
        <v>2024</v>
      </c>
    </row>
    <row r="1591" spans="6:6" x14ac:dyDescent="0.25">
      <c r="F1591" t="s">
        <v>2025</v>
      </c>
    </row>
    <row r="1592" spans="6:6" x14ac:dyDescent="0.25">
      <c r="F1592" t="s">
        <v>2026</v>
      </c>
    </row>
    <row r="1593" spans="6:6" x14ac:dyDescent="0.25">
      <c r="F1593" t="s">
        <v>2027</v>
      </c>
    </row>
    <row r="1594" spans="6:6" x14ac:dyDescent="0.25">
      <c r="F1594" t="s">
        <v>2028</v>
      </c>
    </row>
    <row r="1595" spans="6:6" x14ac:dyDescent="0.25">
      <c r="F1595" t="s">
        <v>2029</v>
      </c>
    </row>
    <row r="1596" spans="6:6" x14ac:dyDescent="0.25">
      <c r="F1596" t="s">
        <v>2030</v>
      </c>
    </row>
    <row r="1597" spans="6:6" x14ac:dyDescent="0.25">
      <c r="F1597" t="s">
        <v>2031</v>
      </c>
    </row>
    <row r="1598" spans="6:6" x14ac:dyDescent="0.25">
      <c r="F1598" t="s">
        <v>2032</v>
      </c>
    </row>
    <row r="1599" spans="6:6" x14ac:dyDescent="0.25">
      <c r="F1599" t="s">
        <v>2033</v>
      </c>
    </row>
    <row r="1600" spans="6:6" x14ac:dyDescent="0.25">
      <c r="F1600" t="s">
        <v>946</v>
      </c>
    </row>
    <row r="1601" spans="6:6" x14ac:dyDescent="0.25">
      <c r="F1601" t="s">
        <v>2034</v>
      </c>
    </row>
    <row r="1602" spans="6:6" x14ac:dyDescent="0.25">
      <c r="F1602" t="s">
        <v>2035</v>
      </c>
    </row>
    <row r="1603" spans="6:6" x14ac:dyDescent="0.25">
      <c r="F1603" t="s">
        <v>2036</v>
      </c>
    </row>
    <row r="1604" spans="6:6" x14ac:dyDescent="0.25">
      <c r="F1604" t="s">
        <v>2037</v>
      </c>
    </row>
    <row r="1605" spans="6:6" x14ac:dyDescent="0.25">
      <c r="F1605" t="s">
        <v>2038</v>
      </c>
    </row>
    <row r="1606" spans="6:6" x14ac:dyDescent="0.25">
      <c r="F1606" t="s">
        <v>2039</v>
      </c>
    </row>
    <row r="1607" spans="6:6" x14ac:dyDescent="0.25">
      <c r="F1607" t="s">
        <v>2040</v>
      </c>
    </row>
    <row r="1608" spans="6:6" x14ac:dyDescent="0.25">
      <c r="F1608" t="s">
        <v>2041</v>
      </c>
    </row>
    <row r="1609" spans="6:6" x14ac:dyDescent="0.25">
      <c r="F1609" t="s">
        <v>2042</v>
      </c>
    </row>
    <row r="1610" spans="6:6" x14ac:dyDescent="0.25">
      <c r="F1610" t="s">
        <v>2043</v>
      </c>
    </row>
    <row r="1611" spans="6:6" x14ac:dyDescent="0.25">
      <c r="F1611" t="s">
        <v>2044</v>
      </c>
    </row>
    <row r="1612" spans="6:6" x14ac:dyDescent="0.25">
      <c r="F1612" t="s">
        <v>2045</v>
      </c>
    </row>
    <row r="1613" spans="6:6" x14ac:dyDescent="0.25">
      <c r="F1613" t="s">
        <v>2046</v>
      </c>
    </row>
    <row r="1614" spans="6:6" x14ac:dyDescent="0.25">
      <c r="F1614" t="s">
        <v>2047</v>
      </c>
    </row>
    <row r="1615" spans="6:6" x14ac:dyDescent="0.25">
      <c r="F1615" t="s">
        <v>2048</v>
      </c>
    </row>
    <row r="1616" spans="6:6" x14ac:dyDescent="0.25">
      <c r="F1616" t="s">
        <v>2049</v>
      </c>
    </row>
    <row r="1617" spans="6:6" x14ac:dyDescent="0.25">
      <c r="F1617" t="s">
        <v>2050</v>
      </c>
    </row>
    <row r="1618" spans="6:6" x14ac:dyDescent="0.25">
      <c r="F1618" t="s">
        <v>2051</v>
      </c>
    </row>
    <row r="1619" spans="6:6" x14ac:dyDescent="0.25">
      <c r="F1619" t="s">
        <v>2052</v>
      </c>
    </row>
    <row r="1620" spans="6:6" x14ac:dyDescent="0.25">
      <c r="F1620" t="s">
        <v>2053</v>
      </c>
    </row>
    <row r="1621" spans="6:6" x14ac:dyDescent="0.25">
      <c r="F1621" t="s">
        <v>2054</v>
      </c>
    </row>
    <row r="1622" spans="6:6" x14ac:dyDescent="0.25">
      <c r="F1622" t="s">
        <v>2055</v>
      </c>
    </row>
    <row r="1623" spans="6:6" x14ac:dyDescent="0.25">
      <c r="F1623" t="s">
        <v>2056</v>
      </c>
    </row>
    <row r="1624" spans="6:6" x14ac:dyDescent="0.25">
      <c r="F1624" t="s">
        <v>2057</v>
      </c>
    </row>
    <row r="1625" spans="6:6" x14ac:dyDescent="0.25">
      <c r="F1625" t="s">
        <v>2058</v>
      </c>
    </row>
    <row r="1626" spans="6:6" x14ac:dyDescent="0.25">
      <c r="F1626" t="s">
        <v>2059</v>
      </c>
    </row>
    <row r="1627" spans="6:6" x14ac:dyDescent="0.25">
      <c r="F1627" t="s">
        <v>2060</v>
      </c>
    </row>
    <row r="1628" spans="6:6" x14ac:dyDescent="0.25">
      <c r="F1628" t="s">
        <v>2061</v>
      </c>
    </row>
    <row r="1629" spans="6:6" x14ac:dyDescent="0.25">
      <c r="F1629" t="s">
        <v>2062</v>
      </c>
    </row>
    <row r="1630" spans="6:6" x14ac:dyDescent="0.25">
      <c r="F1630" t="s">
        <v>2063</v>
      </c>
    </row>
    <row r="1631" spans="6:6" x14ac:dyDescent="0.25">
      <c r="F1631" t="s">
        <v>2064</v>
      </c>
    </row>
    <row r="1632" spans="6:6" x14ac:dyDescent="0.25">
      <c r="F1632" t="s">
        <v>2065</v>
      </c>
    </row>
    <row r="1633" spans="6:6" x14ac:dyDescent="0.25">
      <c r="F1633" t="s">
        <v>2066</v>
      </c>
    </row>
    <row r="1634" spans="6:6" x14ac:dyDescent="0.25">
      <c r="F1634" t="s">
        <v>2067</v>
      </c>
    </row>
    <row r="1635" spans="6:6" x14ac:dyDescent="0.25">
      <c r="F1635" t="s">
        <v>2068</v>
      </c>
    </row>
    <row r="1636" spans="6:6" x14ac:dyDescent="0.25">
      <c r="F1636" t="s">
        <v>2069</v>
      </c>
    </row>
    <row r="1637" spans="6:6" x14ac:dyDescent="0.25">
      <c r="F1637" t="s">
        <v>2070</v>
      </c>
    </row>
    <row r="1638" spans="6:6" x14ac:dyDescent="0.25">
      <c r="F1638" t="s">
        <v>2071</v>
      </c>
    </row>
    <row r="1639" spans="6:6" x14ac:dyDescent="0.25">
      <c r="F1639" t="s">
        <v>2072</v>
      </c>
    </row>
    <row r="1640" spans="6:6" x14ac:dyDescent="0.25">
      <c r="F1640" t="s">
        <v>2073</v>
      </c>
    </row>
    <row r="1641" spans="6:6" x14ac:dyDescent="0.25">
      <c r="F1641" t="s">
        <v>2074</v>
      </c>
    </row>
    <row r="1642" spans="6:6" x14ac:dyDescent="0.25">
      <c r="F1642" t="s">
        <v>2075</v>
      </c>
    </row>
    <row r="1643" spans="6:6" x14ac:dyDescent="0.25">
      <c r="F1643" t="s">
        <v>2076</v>
      </c>
    </row>
    <row r="1644" spans="6:6" x14ac:dyDescent="0.25">
      <c r="F1644" t="s">
        <v>2077</v>
      </c>
    </row>
    <row r="1645" spans="6:6" x14ac:dyDescent="0.25">
      <c r="F1645" t="s">
        <v>2078</v>
      </c>
    </row>
    <row r="1646" spans="6:6" x14ac:dyDescent="0.25">
      <c r="F1646" t="s">
        <v>2079</v>
      </c>
    </row>
    <row r="1647" spans="6:6" x14ac:dyDescent="0.25">
      <c r="F1647" t="s">
        <v>2080</v>
      </c>
    </row>
    <row r="1648" spans="6:6" x14ac:dyDescent="0.25">
      <c r="F1648" t="s">
        <v>2081</v>
      </c>
    </row>
    <row r="1649" spans="6:6" x14ac:dyDescent="0.25">
      <c r="F1649" t="s">
        <v>2082</v>
      </c>
    </row>
    <row r="1650" spans="6:6" x14ac:dyDescent="0.25">
      <c r="F1650" t="s">
        <v>2083</v>
      </c>
    </row>
    <row r="1651" spans="6:6" x14ac:dyDescent="0.25">
      <c r="F1651" t="s">
        <v>2084</v>
      </c>
    </row>
    <row r="1652" spans="6:6" x14ac:dyDescent="0.25">
      <c r="F1652" t="s">
        <v>2085</v>
      </c>
    </row>
    <row r="1653" spans="6:6" x14ac:dyDescent="0.25">
      <c r="F1653" t="s">
        <v>2086</v>
      </c>
    </row>
    <row r="1654" spans="6:6" x14ac:dyDescent="0.25">
      <c r="F1654" t="s">
        <v>2087</v>
      </c>
    </row>
    <row r="1655" spans="6:6" x14ac:dyDescent="0.25">
      <c r="F1655" t="s">
        <v>2088</v>
      </c>
    </row>
    <row r="1656" spans="6:6" x14ac:dyDescent="0.25">
      <c r="F1656" t="s">
        <v>2089</v>
      </c>
    </row>
    <row r="1657" spans="6:6" x14ac:dyDescent="0.25">
      <c r="F1657" t="s">
        <v>2090</v>
      </c>
    </row>
    <row r="1658" spans="6:6" x14ac:dyDescent="0.25">
      <c r="F1658" t="s">
        <v>2091</v>
      </c>
    </row>
    <row r="1659" spans="6:6" x14ac:dyDescent="0.25">
      <c r="F1659" t="s">
        <v>2092</v>
      </c>
    </row>
    <row r="1660" spans="6:6" x14ac:dyDescent="0.25">
      <c r="F1660" t="s">
        <v>2093</v>
      </c>
    </row>
    <row r="1661" spans="6:6" x14ac:dyDescent="0.25">
      <c r="F1661" t="s">
        <v>2094</v>
      </c>
    </row>
    <row r="1662" spans="6:6" x14ac:dyDescent="0.25">
      <c r="F1662" t="s">
        <v>2095</v>
      </c>
    </row>
    <row r="1663" spans="6:6" x14ac:dyDescent="0.25">
      <c r="F1663" t="s">
        <v>2096</v>
      </c>
    </row>
    <row r="1664" spans="6:6" x14ac:dyDescent="0.25">
      <c r="F1664" t="s">
        <v>1006</v>
      </c>
    </row>
    <row r="1665" spans="6:6" x14ac:dyDescent="0.25">
      <c r="F1665" t="s">
        <v>2097</v>
      </c>
    </row>
    <row r="1666" spans="6:6" x14ac:dyDescent="0.25">
      <c r="F1666" t="s">
        <v>971</v>
      </c>
    </row>
    <row r="1667" spans="6:6" x14ac:dyDescent="0.25">
      <c r="F1667" t="s">
        <v>2098</v>
      </c>
    </row>
    <row r="1668" spans="6:6" x14ac:dyDescent="0.25">
      <c r="F1668" t="s">
        <v>2099</v>
      </c>
    </row>
    <row r="1669" spans="6:6" x14ac:dyDescent="0.25">
      <c r="F1669" t="s">
        <v>2100</v>
      </c>
    </row>
    <row r="1670" spans="6:6" x14ac:dyDescent="0.25">
      <c r="F1670" t="s">
        <v>2101</v>
      </c>
    </row>
    <row r="1671" spans="6:6" x14ac:dyDescent="0.25">
      <c r="F1671" t="s">
        <v>2102</v>
      </c>
    </row>
    <row r="1672" spans="6:6" x14ac:dyDescent="0.25">
      <c r="F1672" t="s">
        <v>2103</v>
      </c>
    </row>
    <row r="1673" spans="6:6" x14ac:dyDescent="0.25">
      <c r="F1673" t="s">
        <v>2104</v>
      </c>
    </row>
    <row r="1674" spans="6:6" x14ac:dyDescent="0.25">
      <c r="F1674" t="s">
        <v>2105</v>
      </c>
    </row>
    <row r="1675" spans="6:6" x14ac:dyDescent="0.25">
      <c r="F1675" t="s">
        <v>2106</v>
      </c>
    </row>
    <row r="1676" spans="6:6" x14ac:dyDescent="0.25">
      <c r="F1676" t="s">
        <v>2107</v>
      </c>
    </row>
    <row r="1677" spans="6:6" x14ac:dyDescent="0.25">
      <c r="F1677" t="s">
        <v>2108</v>
      </c>
    </row>
    <row r="1678" spans="6:6" x14ac:dyDescent="0.25">
      <c r="F1678" t="s">
        <v>2109</v>
      </c>
    </row>
    <row r="1679" spans="6:6" x14ac:dyDescent="0.25">
      <c r="F1679" t="s">
        <v>2110</v>
      </c>
    </row>
    <row r="1680" spans="6:6" x14ac:dyDescent="0.25">
      <c r="F1680" t="s">
        <v>2111</v>
      </c>
    </row>
    <row r="1681" spans="6:6" x14ac:dyDescent="0.25">
      <c r="F1681" t="s">
        <v>2112</v>
      </c>
    </row>
    <row r="1682" spans="6:6" x14ac:dyDescent="0.25">
      <c r="F1682" t="s">
        <v>2113</v>
      </c>
    </row>
    <row r="1683" spans="6:6" x14ac:dyDescent="0.25">
      <c r="F1683" t="s">
        <v>2114</v>
      </c>
    </row>
    <row r="1684" spans="6:6" x14ac:dyDescent="0.25">
      <c r="F1684" t="s">
        <v>2115</v>
      </c>
    </row>
    <row r="1685" spans="6:6" x14ac:dyDescent="0.25">
      <c r="F1685" t="s">
        <v>2116</v>
      </c>
    </row>
    <row r="1686" spans="6:6" x14ac:dyDescent="0.25">
      <c r="F1686" t="s">
        <v>2117</v>
      </c>
    </row>
    <row r="1687" spans="6:6" x14ac:dyDescent="0.25">
      <c r="F1687" t="s">
        <v>2118</v>
      </c>
    </row>
    <row r="1688" spans="6:6" x14ac:dyDescent="0.25">
      <c r="F1688" t="s">
        <v>2119</v>
      </c>
    </row>
    <row r="1689" spans="6:6" x14ac:dyDescent="0.25">
      <c r="F1689" t="s">
        <v>2120</v>
      </c>
    </row>
    <row r="1690" spans="6:6" x14ac:dyDescent="0.25">
      <c r="F1690" t="s">
        <v>2121</v>
      </c>
    </row>
    <row r="1691" spans="6:6" x14ac:dyDescent="0.25">
      <c r="F1691" t="s">
        <v>2122</v>
      </c>
    </row>
    <row r="1692" spans="6:6" x14ac:dyDescent="0.25">
      <c r="F1692" t="s">
        <v>2123</v>
      </c>
    </row>
    <row r="1693" spans="6:6" x14ac:dyDescent="0.25">
      <c r="F1693" t="s">
        <v>2124</v>
      </c>
    </row>
    <row r="1694" spans="6:6" x14ac:dyDescent="0.25">
      <c r="F1694" t="s">
        <v>2125</v>
      </c>
    </row>
    <row r="1695" spans="6:6" x14ac:dyDescent="0.25">
      <c r="F1695" t="s">
        <v>2126</v>
      </c>
    </row>
    <row r="1696" spans="6:6" x14ac:dyDescent="0.25">
      <c r="F1696" t="s">
        <v>2127</v>
      </c>
    </row>
    <row r="1697" spans="6:6" x14ac:dyDescent="0.25">
      <c r="F1697" t="s">
        <v>2128</v>
      </c>
    </row>
    <row r="1698" spans="6:6" x14ac:dyDescent="0.25">
      <c r="F1698" t="s">
        <v>2129</v>
      </c>
    </row>
    <row r="1699" spans="6:6" x14ac:dyDescent="0.25">
      <c r="F1699" t="s">
        <v>2130</v>
      </c>
    </row>
    <row r="1700" spans="6:6" x14ac:dyDescent="0.25">
      <c r="F1700" t="s">
        <v>2131</v>
      </c>
    </row>
    <row r="1701" spans="6:6" x14ac:dyDescent="0.25">
      <c r="F1701" t="s">
        <v>2132</v>
      </c>
    </row>
    <row r="1702" spans="6:6" x14ac:dyDescent="0.25">
      <c r="F1702" t="s">
        <v>2133</v>
      </c>
    </row>
    <row r="1703" spans="6:6" x14ac:dyDescent="0.25">
      <c r="F1703" t="s">
        <v>2134</v>
      </c>
    </row>
    <row r="1704" spans="6:6" x14ac:dyDescent="0.25">
      <c r="F1704" t="s">
        <v>2135</v>
      </c>
    </row>
    <row r="1705" spans="6:6" x14ac:dyDescent="0.25">
      <c r="F1705" t="s">
        <v>2136</v>
      </c>
    </row>
    <row r="1706" spans="6:6" x14ac:dyDescent="0.25">
      <c r="F1706" t="s">
        <v>2137</v>
      </c>
    </row>
    <row r="1707" spans="6:6" x14ac:dyDescent="0.25">
      <c r="F1707" t="s">
        <v>2138</v>
      </c>
    </row>
    <row r="1708" spans="6:6" x14ac:dyDescent="0.25">
      <c r="F1708" t="s">
        <v>2139</v>
      </c>
    </row>
    <row r="1709" spans="6:6" x14ac:dyDescent="0.25">
      <c r="F1709" t="s">
        <v>2140</v>
      </c>
    </row>
    <row r="1710" spans="6:6" x14ac:dyDescent="0.25">
      <c r="F1710" t="s">
        <v>2141</v>
      </c>
    </row>
    <row r="1711" spans="6:6" x14ac:dyDescent="0.25">
      <c r="F1711" t="s">
        <v>2142</v>
      </c>
    </row>
    <row r="1712" spans="6:6" x14ac:dyDescent="0.25">
      <c r="F1712" t="s">
        <v>2143</v>
      </c>
    </row>
    <row r="1713" spans="6:6" x14ac:dyDescent="0.25">
      <c r="F1713" t="s">
        <v>2144</v>
      </c>
    </row>
    <row r="1714" spans="6:6" x14ac:dyDescent="0.25">
      <c r="F1714" t="s">
        <v>2145</v>
      </c>
    </row>
    <row r="1715" spans="6:6" x14ac:dyDescent="0.25">
      <c r="F1715" t="s">
        <v>2146</v>
      </c>
    </row>
    <row r="1716" spans="6:6" x14ac:dyDescent="0.25">
      <c r="F1716" t="s">
        <v>2147</v>
      </c>
    </row>
    <row r="1717" spans="6:6" x14ac:dyDescent="0.25">
      <c r="F1717" t="s">
        <v>116</v>
      </c>
    </row>
    <row r="1718" spans="6:6" x14ac:dyDescent="0.25">
      <c r="F1718" t="s">
        <v>2148</v>
      </c>
    </row>
    <row r="1719" spans="6:6" x14ac:dyDescent="0.25">
      <c r="F1719" t="s">
        <v>2149</v>
      </c>
    </row>
    <row r="1720" spans="6:6" x14ac:dyDescent="0.25">
      <c r="F1720" t="s">
        <v>2150</v>
      </c>
    </row>
    <row r="1721" spans="6:6" x14ac:dyDescent="0.25">
      <c r="F1721" t="s">
        <v>2151</v>
      </c>
    </row>
    <row r="1722" spans="6:6" x14ac:dyDescent="0.25">
      <c r="F1722" t="s">
        <v>2152</v>
      </c>
    </row>
    <row r="1723" spans="6:6" x14ac:dyDescent="0.25">
      <c r="F1723" t="s">
        <v>2153</v>
      </c>
    </row>
    <row r="1724" spans="6:6" x14ac:dyDescent="0.25">
      <c r="F1724" t="s">
        <v>2154</v>
      </c>
    </row>
    <row r="1725" spans="6:6" x14ac:dyDescent="0.25">
      <c r="F1725" t="s">
        <v>2155</v>
      </c>
    </row>
    <row r="1726" spans="6:6" x14ac:dyDescent="0.25">
      <c r="F1726" t="s">
        <v>2156</v>
      </c>
    </row>
    <row r="1727" spans="6:6" x14ac:dyDescent="0.25">
      <c r="F1727" t="s">
        <v>2157</v>
      </c>
    </row>
    <row r="1728" spans="6:6" x14ac:dyDescent="0.25">
      <c r="F1728" t="s">
        <v>2158</v>
      </c>
    </row>
    <row r="1729" spans="6:6" x14ac:dyDescent="0.25">
      <c r="F1729" t="s">
        <v>2159</v>
      </c>
    </row>
    <row r="1730" spans="6:6" x14ac:dyDescent="0.25">
      <c r="F1730" t="s">
        <v>2160</v>
      </c>
    </row>
    <row r="1731" spans="6:6" x14ac:dyDescent="0.25">
      <c r="F1731" t="s">
        <v>2161</v>
      </c>
    </row>
    <row r="1732" spans="6:6" x14ac:dyDescent="0.25">
      <c r="F1732" t="s">
        <v>2162</v>
      </c>
    </row>
    <row r="1733" spans="6:6" x14ac:dyDescent="0.25">
      <c r="F1733" t="s">
        <v>2163</v>
      </c>
    </row>
    <row r="1734" spans="6:6" x14ac:dyDescent="0.25">
      <c r="F1734" t="s">
        <v>2164</v>
      </c>
    </row>
    <row r="1735" spans="6:6" x14ac:dyDescent="0.25">
      <c r="F1735" t="s">
        <v>2165</v>
      </c>
    </row>
    <row r="1736" spans="6:6" x14ac:dyDescent="0.25">
      <c r="F1736" t="s">
        <v>2166</v>
      </c>
    </row>
    <row r="1737" spans="6:6" x14ac:dyDescent="0.25">
      <c r="F1737" t="s">
        <v>2167</v>
      </c>
    </row>
    <row r="1738" spans="6:6" x14ac:dyDescent="0.25">
      <c r="F1738" t="s">
        <v>2168</v>
      </c>
    </row>
    <row r="1739" spans="6:6" x14ac:dyDescent="0.25">
      <c r="F1739" t="s">
        <v>2169</v>
      </c>
    </row>
    <row r="1740" spans="6:6" x14ac:dyDescent="0.25">
      <c r="F1740" t="s">
        <v>2170</v>
      </c>
    </row>
    <row r="1741" spans="6:6" x14ac:dyDescent="0.25">
      <c r="F1741" t="s">
        <v>2171</v>
      </c>
    </row>
    <row r="1742" spans="6:6" x14ac:dyDescent="0.25">
      <c r="F1742" t="s">
        <v>2172</v>
      </c>
    </row>
    <row r="1743" spans="6:6" x14ac:dyDescent="0.25">
      <c r="F1743" t="s">
        <v>2173</v>
      </c>
    </row>
    <row r="1744" spans="6:6" x14ac:dyDescent="0.25">
      <c r="F1744" t="s">
        <v>2174</v>
      </c>
    </row>
    <row r="1745" spans="6:6" x14ac:dyDescent="0.25">
      <c r="F1745" t="s">
        <v>2175</v>
      </c>
    </row>
    <row r="1746" spans="6:6" x14ac:dyDescent="0.25">
      <c r="F1746" t="s">
        <v>2176</v>
      </c>
    </row>
    <row r="1747" spans="6:6" x14ac:dyDescent="0.25">
      <c r="F1747" t="s">
        <v>2177</v>
      </c>
    </row>
    <row r="1748" spans="6:6" x14ac:dyDescent="0.25">
      <c r="F1748" t="s">
        <v>2178</v>
      </c>
    </row>
    <row r="1749" spans="6:6" x14ac:dyDescent="0.25">
      <c r="F1749" t="s">
        <v>2179</v>
      </c>
    </row>
    <row r="1750" spans="6:6" x14ac:dyDescent="0.25">
      <c r="F1750" t="s">
        <v>2180</v>
      </c>
    </row>
    <row r="1751" spans="6:6" x14ac:dyDescent="0.25">
      <c r="F1751" t="s">
        <v>2181</v>
      </c>
    </row>
    <row r="1752" spans="6:6" x14ac:dyDescent="0.25">
      <c r="F1752" t="s">
        <v>2182</v>
      </c>
    </row>
    <row r="1753" spans="6:6" x14ac:dyDescent="0.25">
      <c r="F1753" t="s">
        <v>2183</v>
      </c>
    </row>
    <row r="1754" spans="6:6" x14ac:dyDescent="0.25">
      <c r="F1754" t="s">
        <v>2184</v>
      </c>
    </row>
    <row r="1755" spans="6:6" x14ac:dyDescent="0.25">
      <c r="F1755" t="s">
        <v>2185</v>
      </c>
    </row>
    <row r="1756" spans="6:6" x14ac:dyDescent="0.25">
      <c r="F1756" t="s">
        <v>2186</v>
      </c>
    </row>
    <row r="1757" spans="6:6" x14ac:dyDescent="0.25">
      <c r="F1757" t="s">
        <v>2187</v>
      </c>
    </row>
    <row r="1758" spans="6:6" x14ac:dyDescent="0.25">
      <c r="F1758" t="s">
        <v>2188</v>
      </c>
    </row>
    <row r="1759" spans="6:6" x14ac:dyDescent="0.25">
      <c r="F1759" t="s">
        <v>2189</v>
      </c>
    </row>
    <row r="1760" spans="6:6" x14ac:dyDescent="0.25">
      <c r="F1760" t="s">
        <v>2190</v>
      </c>
    </row>
    <row r="1761" spans="6:6" x14ac:dyDescent="0.25">
      <c r="F1761" t="s">
        <v>2191</v>
      </c>
    </row>
    <row r="1762" spans="6:6" x14ac:dyDescent="0.25">
      <c r="F1762" t="s">
        <v>2192</v>
      </c>
    </row>
    <row r="1763" spans="6:6" x14ac:dyDescent="0.25">
      <c r="F1763" t="s">
        <v>2193</v>
      </c>
    </row>
    <row r="1764" spans="6:6" x14ac:dyDescent="0.25">
      <c r="F1764" t="s">
        <v>2194</v>
      </c>
    </row>
    <row r="1765" spans="6:6" x14ac:dyDescent="0.25">
      <c r="F1765" t="s">
        <v>2195</v>
      </c>
    </row>
    <row r="1766" spans="6:6" x14ac:dyDescent="0.25">
      <c r="F1766" t="s">
        <v>2196</v>
      </c>
    </row>
    <row r="1767" spans="6:6" x14ac:dyDescent="0.25">
      <c r="F1767" t="s">
        <v>2197</v>
      </c>
    </row>
    <row r="1768" spans="6:6" x14ac:dyDescent="0.25">
      <c r="F1768" t="s">
        <v>2198</v>
      </c>
    </row>
    <row r="1769" spans="6:6" x14ac:dyDescent="0.25">
      <c r="F1769" t="s">
        <v>2199</v>
      </c>
    </row>
    <row r="1770" spans="6:6" x14ac:dyDescent="0.25">
      <c r="F1770" t="s">
        <v>2200</v>
      </c>
    </row>
    <row r="1771" spans="6:6" x14ac:dyDescent="0.25">
      <c r="F1771" t="s">
        <v>2201</v>
      </c>
    </row>
    <row r="1772" spans="6:6" x14ac:dyDescent="0.25">
      <c r="F1772" t="s">
        <v>2202</v>
      </c>
    </row>
    <row r="1773" spans="6:6" x14ac:dyDescent="0.25">
      <c r="F1773" t="s">
        <v>2203</v>
      </c>
    </row>
    <row r="1774" spans="6:6" x14ac:dyDescent="0.25">
      <c r="F1774" t="s">
        <v>2204</v>
      </c>
    </row>
    <row r="1775" spans="6:6" x14ac:dyDescent="0.25">
      <c r="F1775" t="s">
        <v>2205</v>
      </c>
    </row>
    <row r="1776" spans="6:6" x14ac:dyDescent="0.25">
      <c r="F1776" t="s">
        <v>2206</v>
      </c>
    </row>
    <row r="1777" spans="6:6" x14ac:dyDescent="0.25">
      <c r="F1777" t="s">
        <v>2207</v>
      </c>
    </row>
    <row r="1778" spans="6:6" x14ac:dyDescent="0.25">
      <c r="F1778" t="s">
        <v>2208</v>
      </c>
    </row>
    <row r="1779" spans="6:6" x14ac:dyDescent="0.25">
      <c r="F1779" t="s">
        <v>2209</v>
      </c>
    </row>
    <row r="1780" spans="6:6" x14ac:dyDescent="0.25">
      <c r="F1780" t="s">
        <v>2210</v>
      </c>
    </row>
    <row r="1781" spans="6:6" x14ac:dyDescent="0.25">
      <c r="F1781" t="s">
        <v>2211</v>
      </c>
    </row>
    <row r="1782" spans="6:6" x14ac:dyDescent="0.25">
      <c r="F1782" t="s">
        <v>2212</v>
      </c>
    </row>
    <row r="1783" spans="6:6" x14ac:dyDescent="0.25">
      <c r="F1783" t="s">
        <v>2213</v>
      </c>
    </row>
    <row r="1784" spans="6:6" x14ac:dyDescent="0.25">
      <c r="F1784" t="s">
        <v>2214</v>
      </c>
    </row>
    <row r="1785" spans="6:6" x14ac:dyDescent="0.25">
      <c r="F1785" t="s">
        <v>2215</v>
      </c>
    </row>
    <row r="1786" spans="6:6" x14ac:dyDescent="0.25">
      <c r="F1786" t="s">
        <v>2216</v>
      </c>
    </row>
    <row r="1787" spans="6:6" x14ac:dyDescent="0.25">
      <c r="F1787" t="s">
        <v>2217</v>
      </c>
    </row>
    <row r="1788" spans="6:6" x14ac:dyDescent="0.25">
      <c r="F1788" t="s">
        <v>2218</v>
      </c>
    </row>
    <row r="1789" spans="6:6" x14ac:dyDescent="0.25">
      <c r="F1789" t="s">
        <v>2219</v>
      </c>
    </row>
    <row r="1790" spans="6:6" x14ac:dyDescent="0.25">
      <c r="F1790" t="s">
        <v>2220</v>
      </c>
    </row>
    <row r="1791" spans="6:6" x14ac:dyDescent="0.25">
      <c r="F1791" t="s">
        <v>2221</v>
      </c>
    </row>
    <row r="1792" spans="6:6" x14ac:dyDescent="0.25">
      <c r="F1792" t="s">
        <v>21</v>
      </c>
    </row>
    <row r="1793" spans="6:6" x14ac:dyDescent="0.25">
      <c r="F1793" t="s">
        <v>2222</v>
      </c>
    </row>
    <row r="1794" spans="6:6" x14ac:dyDescent="0.25">
      <c r="F1794" t="s">
        <v>2223</v>
      </c>
    </row>
    <row r="1795" spans="6:6" x14ac:dyDescent="0.25">
      <c r="F1795" t="s">
        <v>2224</v>
      </c>
    </row>
    <row r="1796" spans="6:6" x14ac:dyDescent="0.25">
      <c r="F1796" t="s">
        <v>2225</v>
      </c>
    </row>
    <row r="1797" spans="6:6" x14ac:dyDescent="0.25">
      <c r="F1797" t="s">
        <v>2226</v>
      </c>
    </row>
    <row r="1798" spans="6:6" x14ac:dyDescent="0.25">
      <c r="F1798" t="s">
        <v>2227</v>
      </c>
    </row>
    <row r="1799" spans="6:6" x14ac:dyDescent="0.25">
      <c r="F1799" t="s">
        <v>2228</v>
      </c>
    </row>
    <row r="1800" spans="6:6" x14ac:dyDescent="0.25">
      <c r="F1800" t="s">
        <v>2229</v>
      </c>
    </row>
    <row r="1801" spans="6:6" x14ac:dyDescent="0.25">
      <c r="F1801" t="s">
        <v>2230</v>
      </c>
    </row>
    <row r="1802" spans="6:6" x14ac:dyDescent="0.25">
      <c r="F1802" t="s">
        <v>2231</v>
      </c>
    </row>
    <row r="1803" spans="6:6" x14ac:dyDescent="0.25">
      <c r="F1803" t="s">
        <v>2232</v>
      </c>
    </row>
    <row r="1804" spans="6:6" x14ac:dyDescent="0.25">
      <c r="F1804" t="s">
        <v>2233</v>
      </c>
    </row>
    <row r="1805" spans="6:6" x14ac:dyDescent="0.25">
      <c r="F1805" t="s">
        <v>2234</v>
      </c>
    </row>
    <row r="1806" spans="6:6" x14ac:dyDescent="0.25">
      <c r="F1806" t="s">
        <v>2235</v>
      </c>
    </row>
    <row r="1807" spans="6:6" x14ac:dyDescent="0.25">
      <c r="F1807" t="s">
        <v>2236</v>
      </c>
    </row>
    <row r="1808" spans="6:6" x14ac:dyDescent="0.25">
      <c r="F1808" t="s">
        <v>2237</v>
      </c>
    </row>
    <row r="1809" spans="6:6" x14ac:dyDescent="0.25">
      <c r="F1809" t="s">
        <v>2238</v>
      </c>
    </row>
    <row r="1810" spans="6:6" x14ac:dyDescent="0.25">
      <c r="F1810" t="s">
        <v>2239</v>
      </c>
    </row>
    <row r="1811" spans="6:6" x14ac:dyDescent="0.25">
      <c r="F1811" t="s">
        <v>2240</v>
      </c>
    </row>
    <row r="1812" spans="6:6" x14ac:dyDescent="0.25">
      <c r="F1812" t="s">
        <v>2241</v>
      </c>
    </row>
    <row r="1813" spans="6:6" x14ac:dyDescent="0.25">
      <c r="F1813" t="s">
        <v>2242</v>
      </c>
    </row>
    <row r="1814" spans="6:6" x14ac:dyDescent="0.25">
      <c r="F1814" t="s">
        <v>2243</v>
      </c>
    </row>
    <row r="1815" spans="6:6" x14ac:dyDescent="0.25">
      <c r="F1815" t="s">
        <v>2244</v>
      </c>
    </row>
    <row r="1816" spans="6:6" x14ac:dyDescent="0.25">
      <c r="F1816" t="s">
        <v>2245</v>
      </c>
    </row>
    <row r="1817" spans="6:6" x14ac:dyDescent="0.25">
      <c r="F1817" t="s">
        <v>2246</v>
      </c>
    </row>
    <row r="1818" spans="6:6" x14ac:dyDescent="0.25">
      <c r="F1818" t="s">
        <v>2247</v>
      </c>
    </row>
    <row r="1819" spans="6:6" x14ac:dyDescent="0.25">
      <c r="F1819" t="s">
        <v>2248</v>
      </c>
    </row>
    <row r="1820" spans="6:6" x14ac:dyDescent="0.25">
      <c r="F1820" t="s">
        <v>2249</v>
      </c>
    </row>
    <row r="1821" spans="6:6" x14ac:dyDescent="0.25">
      <c r="F1821" t="s">
        <v>2250</v>
      </c>
    </row>
    <row r="1822" spans="6:6" x14ac:dyDescent="0.25">
      <c r="F1822" t="s">
        <v>2251</v>
      </c>
    </row>
    <row r="1823" spans="6:6" x14ac:dyDescent="0.25">
      <c r="F1823" t="s">
        <v>2252</v>
      </c>
    </row>
    <row r="1824" spans="6:6" x14ac:dyDescent="0.25">
      <c r="F1824" t="s">
        <v>2253</v>
      </c>
    </row>
    <row r="1825" spans="6:6" x14ac:dyDescent="0.25">
      <c r="F1825" t="s">
        <v>2254</v>
      </c>
    </row>
    <row r="1826" spans="6:6" x14ac:dyDescent="0.25">
      <c r="F1826" t="s">
        <v>2255</v>
      </c>
    </row>
    <row r="1827" spans="6:6" x14ac:dyDescent="0.25">
      <c r="F1827" t="s">
        <v>2256</v>
      </c>
    </row>
    <row r="1828" spans="6:6" x14ac:dyDescent="0.25">
      <c r="F1828" t="s">
        <v>2257</v>
      </c>
    </row>
    <row r="1829" spans="6:6" x14ac:dyDescent="0.25">
      <c r="F1829" t="s">
        <v>2258</v>
      </c>
    </row>
    <row r="1830" spans="6:6" x14ac:dyDescent="0.25">
      <c r="F1830" t="s">
        <v>2259</v>
      </c>
    </row>
    <row r="1831" spans="6:6" x14ac:dyDescent="0.25">
      <c r="F1831" t="s">
        <v>2260</v>
      </c>
    </row>
    <row r="1832" spans="6:6" x14ac:dyDescent="0.25">
      <c r="F1832" t="s">
        <v>2261</v>
      </c>
    </row>
    <row r="1833" spans="6:6" x14ac:dyDescent="0.25">
      <c r="F1833" t="s">
        <v>2262</v>
      </c>
    </row>
    <row r="1834" spans="6:6" x14ac:dyDescent="0.25">
      <c r="F1834" t="s">
        <v>2263</v>
      </c>
    </row>
    <row r="1835" spans="6:6" x14ac:dyDescent="0.25">
      <c r="F1835" t="s">
        <v>2264</v>
      </c>
    </row>
    <row r="1836" spans="6:6" x14ac:dyDescent="0.25">
      <c r="F1836" t="s">
        <v>2265</v>
      </c>
    </row>
    <row r="1837" spans="6:6" x14ac:dyDescent="0.25">
      <c r="F1837" t="s">
        <v>2266</v>
      </c>
    </row>
    <row r="1838" spans="6:6" x14ac:dyDescent="0.25">
      <c r="F1838" t="s">
        <v>2267</v>
      </c>
    </row>
    <row r="1839" spans="6:6" x14ac:dyDescent="0.25">
      <c r="F1839" t="s">
        <v>2268</v>
      </c>
    </row>
    <row r="1840" spans="6:6" x14ac:dyDescent="0.25">
      <c r="F1840" t="s">
        <v>2269</v>
      </c>
    </row>
    <row r="1841" spans="6:6" x14ac:dyDescent="0.25">
      <c r="F1841" t="s">
        <v>2270</v>
      </c>
    </row>
    <row r="1842" spans="6:6" x14ac:dyDescent="0.25">
      <c r="F1842" t="s">
        <v>2271</v>
      </c>
    </row>
    <row r="1843" spans="6:6" x14ac:dyDescent="0.25">
      <c r="F1843" t="s">
        <v>2272</v>
      </c>
    </row>
    <row r="1844" spans="6:6" x14ac:dyDescent="0.25">
      <c r="F1844" t="s">
        <v>2273</v>
      </c>
    </row>
    <row r="1845" spans="6:6" x14ac:dyDescent="0.25">
      <c r="F1845" t="s">
        <v>2274</v>
      </c>
    </row>
    <row r="1846" spans="6:6" x14ac:dyDescent="0.25">
      <c r="F1846" t="s">
        <v>2275</v>
      </c>
    </row>
    <row r="1847" spans="6:6" x14ac:dyDescent="0.25">
      <c r="F1847" t="s">
        <v>2276</v>
      </c>
    </row>
    <row r="1848" spans="6:6" x14ac:dyDescent="0.25">
      <c r="F1848" t="s">
        <v>2277</v>
      </c>
    </row>
    <row r="1849" spans="6:6" x14ac:dyDescent="0.25">
      <c r="F1849" t="s">
        <v>2278</v>
      </c>
    </row>
    <row r="1850" spans="6:6" x14ac:dyDescent="0.25">
      <c r="F1850" t="s">
        <v>2279</v>
      </c>
    </row>
    <row r="1851" spans="6:6" x14ac:dyDescent="0.25">
      <c r="F1851" t="s">
        <v>2280</v>
      </c>
    </row>
    <row r="1852" spans="6:6" x14ac:dyDescent="0.25">
      <c r="F1852" t="s">
        <v>2281</v>
      </c>
    </row>
    <row r="1853" spans="6:6" x14ac:dyDescent="0.25">
      <c r="F1853" t="s">
        <v>2282</v>
      </c>
    </row>
    <row r="1854" spans="6:6" x14ac:dyDescent="0.25">
      <c r="F1854" t="s">
        <v>2283</v>
      </c>
    </row>
    <row r="1855" spans="6:6" x14ac:dyDescent="0.25">
      <c r="F1855" t="s">
        <v>2284</v>
      </c>
    </row>
    <row r="1856" spans="6:6" x14ac:dyDescent="0.25">
      <c r="F1856" t="s">
        <v>2285</v>
      </c>
    </row>
    <row r="1857" spans="6:6" x14ac:dyDescent="0.25">
      <c r="F1857" t="s">
        <v>2286</v>
      </c>
    </row>
    <row r="1858" spans="6:6" x14ac:dyDescent="0.25">
      <c r="F1858" t="s">
        <v>2287</v>
      </c>
    </row>
    <row r="1859" spans="6:6" x14ac:dyDescent="0.25">
      <c r="F1859" t="s">
        <v>2288</v>
      </c>
    </row>
    <row r="1860" spans="6:6" x14ac:dyDescent="0.25">
      <c r="F1860" t="s">
        <v>2289</v>
      </c>
    </row>
    <row r="1861" spans="6:6" x14ac:dyDescent="0.25">
      <c r="F1861" t="s">
        <v>2290</v>
      </c>
    </row>
    <row r="1862" spans="6:6" x14ac:dyDescent="0.25">
      <c r="F1862" t="s">
        <v>2291</v>
      </c>
    </row>
    <row r="1863" spans="6:6" x14ac:dyDescent="0.25">
      <c r="F1863" t="s">
        <v>2292</v>
      </c>
    </row>
    <row r="1864" spans="6:6" x14ac:dyDescent="0.25">
      <c r="F1864" t="s">
        <v>2293</v>
      </c>
    </row>
    <row r="1865" spans="6:6" x14ac:dyDescent="0.25">
      <c r="F1865" t="s">
        <v>2294</v>
      </c>
    </row>
    <row r="1866" spans="6:6" x14ac:dyDescent="0.25">
      <c r="F1866" t="s">
        <v>2295</v>
      </c>
    </row>
    <row r="1867" spans="6:6" x14ac:dyDescent="0.25">
      <c r="F1867" t="s">
        <v>2296</v>
      </c>
    </row>
    <row r="1868" spans="6:6" x14ac:dyDescent="0.25">
      <c r="F1868" t="s">
        <v>2297</v>
      </c>
    </row>
    <row r="1869" spans="6:6" x14ac:dyDescent="0.25">
      <c r="F1869" t="s">
        <v>2298</v>
      </c>
    </row>
    <row r="1870" spans="6:6" x14ac:dyDescent="0.25">
      <c r="F1870" t="s">
        <v>2299</v>
      </c>
    </row>
    <row r="1871" spans="6:6" x14ac:dyDescent="0.25">
      <c r="F1871" t="s">
        <v>2300</v>
      </c>
    </row>
    <row r="1872" spans="6:6" x14ac:dyDescent="0.25">
      <c r="F1872" t="s">
        <v>2301</v>
      </c>
    </row>
    <row r="1873" spans="6:6" x14ac:dyDescent="0.25">
      <c r="F1873" t="s">
        <v>2302</v>
      </c>
    </row>
    <row r="1874" spans="6:6" x14ac:dyDescent="0.25">
      <c r="F1874" t="s">
        <v>2303</v>
      </c>
    </row>
    <row r="1875" spans="6:6" x14ac:dyDescent="0.25">
      <c r="F1875" t="s">
        <v>2304</v>
      </c>
    </row>
    <row r="1876" spans="6:6" x14ac:dyDescent="0.25">
      <c r="F1876" t="s">
        <v>2305</v>
      </c>
    </row>
    <row r="1877" spans="6:6" x14ac:dyDescent="0.25">
      <c r="F1877" t="s">
        <v>2306</v>
      </c>
    </row>
    <row r="1878" spans="6:6" x14ac:dyDescent="0.25">
      <c r="F1878" t="s">
        <v>2307</v>
      </c>
    </row>
    <row r="1879" spans="6:6" x14ac:dyDescent="0.25">
      <c r="F1879" t="s">
        <v>2308</v>
      </c>
    </row>
    <row r="1880" spans="6:6" x14ac:dyDescent="0.25">
      <c r="F1880" t="s">
        <v>2309</v>
      </c>
    </row>
    <row r="1881" spans="6:6" x14ac:dyDescent="0.25">
      <c r="F1881" t="s">
        <v>2310</v>
      </c>
    </row>
    <row r="1882" spans="6:6" x14ac:dyDescent="0.25">
      <c r="F1882" t="s">
        <v>2311</v>
      </c>
    </row>
    <row r="1883" spans="6:6" x14ac:dyDescent="0.25">
      <c r="F1883" t="s">
        <v>2312</v>
      </c>
    </row>
    <row r="1884" spans="6:6" x14ac:dyDescent="0.25">
      <c r="F1884" t="s">
        <v>2313</v>
      </c>
    </row>
    <row r="1885" spans="6:6" x14ac:dyDescent="0.25">
      <c r="F1885" t="s">
        <v>2314</v>
      </c>
    </row>
    <row r="1886" spans="6:6" x14ac:dyDescent="0.25">
      <c r="F1886" t="s">
        <v>221</v>
      </c>
    </row>
    <row r="1887" spans="6:6" x14ac:dyDescent="0.25">
      <c r="F1887" t="s">
        <v>2315</v>
      </c>
    </row>
    <row r="1888" spans="6:6" x14ac:dyDescent="0.25">
      <c r="F1888" t="s">
        <v>2316</v>
      </c>
    </row>
    <row r="1889" spans="6:6" x14ac:dyDescent="0.25">
      <c r="F1889" t="s">
        <v>2317</v>
      </c>
    </row>
    <row r="1890" spans="6:6" x14ac:dyDescent="0.25">
      <c r="F1890" t="s">
        <v>2318</v>
      </c>
    </row>
    <row r="1891" spans="6:6" x14ac:dyDescent="0.25">
      <c r="F1891" t="s">
        <v>2319</v>
      </c>
    </row>
    <row r="1892" spans="6:6" x14ac:dyDescent="0.25">
      <c r="F1892" t="s">
        <v>2320</v>
      </c>
    </row>
    <row r="1893" spans="6:6" x14ac:dyDescent="0.25">
      <c r="F1893" t="s">
        <v>2321</v>
      </c>
    </row>
    <row r="1894" spans="6:6" x14ac:dyDescent="0.25">
      <c r="F1894" t="s">
        <v>2322</v>
      </c>
    </row>
    <row r="1895" spans="6:6" x14ac:dyDescent="0.25">
      <c r="F1895" t="s">
        <v>2323</v>
      </c>
    </row>
    <row r="1896" spans="6:6" x14ac:dyDescent="0.25">
      <c r="F1896" t="s">
        <v>2324</v>
      </c>
    </row>
    <row r="1897" spans="6:6" x14ac:dyDescent="0.25">
      <c r="F1897" t="s">
        <v>2325</v>
      </c>
    </row>
    <row r="1898" spans="6:6" x14ac:dyDescent="0.25">
      <c r="F1898" t="s">
        <v>2326</v>
      </c>
    </row>
    <row r="1899" spans="6:6" x14ac:dyDescent="0.25">
      <c r="F1899" t="s">
        <v>2327</v>
      </c>
    </row>
    <row r="1900" spans="6:6" x14ac:dyDescent="0.25">
      <c r="F1900" t="s">
        <v>2328</v>
      </c>
    </row>
    <row r="1901" spans="6:6" x14ac:dyDescent="0.25">
      <c r="F1901" t="s">
        <v>2329</v>
      </c>
    </row>
    <row r="1902" spans="6:6" x14ac:dyDescent="0.25">
      <c r="F1902" t="s">
        <v>2330</v>
      </c>
    </row>
    <row r="1903" spans="6:6" x14ac:dyDescent="0.25">
      <c r="F1903" t="s">
        <v>2331</v>
      </c>
    </row>
    <row r="1904" spans="6:6" x14ac:dyDescent="0.25">
      <c r="F1904" t="s">
        <v>2332</v>
      </c>
    </row>
    <row r="1905" spans="6:6" x14ac:dyDescent="0.25">
      <c r="F1905" t="s">
        <v>2333</v>
      </c>
    </row>
    <row r="1906" spans="6:6" x14ac:dyDescent="0.25">
      <c r="F1906" t="s">
        <v>2334</v>
      </c>
    </row>
    <row r="1907" spans="6:6" x14ac:dyDescent="0.25">
      <c r="F1907" t="s">
        <v>2335</v>
      </c>
    </row>
    <row r="1908" spans="6:6" x14ac:dyDescent="0.25">
      <c r="F1908" t="s">
        <v>2336</v>
      </c>
    </row>
    <row r="1909" spans="6:6" x14ac:dyDescent="0.25">
      <c r="F1909" t="s">
        <v>2337</v>
      </c>
    </row>
    <row r="1910" spans="6:6" x14ac:dyDescent="0.25">
      <c r="F1910" t="s">
        <v>2338</v>
      </c>
    </row>
    <row r="1911" spans="6:6" x14ac:dyDescent="0.25">
      <c r="F1911" t="s">
        <v>2339</v>
      </c>
    </row>
    <row r="1912" spans="6:6" x14ac:dyDescent="0.25">
      <c r="F1912" t="s">
        <v>2340</v>
      </c>
    </row>
    <row r="1913" spans="6:6" x14ac:dyDescent="0.25">
      <c r="F1913" t="s">
        <v>2341</v>
      </c>
    </row>
    <row r="1914" spans="6:6" x14ac:dyDescent="0.25">
      <c r="F1914" t="s">
        <v>2342</v>
      </c>
    </row>
    <row r="1915" spans="6:6" x14ac:dyDescent="0.25">
      <c r="F1915" t="s">
        <v>2343</v>
      </c>
    </row>
    <row r="1916" spans="6:6" x14ac:dyDescent="0.25">
      <c r="F1916" t="s">
        <v>2344</v>
      </c>
    </row>
    <row r="1917" spans="6:6" x14ac:dyDescent="0.25">
      <c r="F1917" t="s">
        <v>2345</v>
      </c>
    </row>
    <row r="1918" spans="6:6" x14ac:dyDescent="0.25">
      <c r="F1918" t="s">
        <v>2346</v>
      </c>
    </row>
    <row r="1919" spans="6:6" x14ac:dyDescent="0.25">
      <c r="F1919" t="s">
        <v>2347</v>
      </c>
    </row>
    <row r="1920" spans="6:6" x14ac:dyDescent="0.25">
      <c r="F1920" t="s">
        <v>2348</v>
      </c>
    </row>
    <row r="1921" spans="6:6" x14ac:dyDescent="0.25">
      <c r="F1921" t="s">
        <v>2349</v>
      </c>
    </row>
    <row r="1922" spans="6:6" x14ac:dyDescent="0.25">
      <c r="F1922" t="s">
        <v>2350</v>
      </c>
    </row>
    <row r="1923" spans="6:6" x14ac:dyDescent="0.25">
      <c r="F1923" t="s">
        <v>2351</v>
      </c>
    </row>
    <row r="1924" spans="6:6" x14ac:dyDescent="0.25">
      <c r="F1924" t="s">
        <v>2352</v>
      </c>
    </row>
    <row r="1925" spans="6:6" x14ac:dyDescent="0.25">
      <c r="F1925" t="s">
        <v>2353</v>
      </c>
    </row>
    <row r="1926" spans="6:6" x14ac:dyDescent="0.25">
      <c r="F1926" t="s">
        <v>2354</v>
      </c>
    </row>
    <row r="1927" spans="6:6" x14ac:dyDescent="0.25">
      <c r="F1927" t="s">
        <v>2355</v>
      </c>
    </row>
    <row r="1928" spans="6:6" x14ac:dyDescent="0.25">
      <c r="F1928" t="s">
        <v>2356</v>
      </c>
    </row>
    <row r="1929" spans="6:6" x14ac:dyDescent="0.25">
      <c r="F1929" t="s">
        <v>2357</v>
      </c>
    </row>
    <row r="1930" spans="6:6" x14ac:dyDescent="0.25">
      <c r="F1930" t="s">
        <v>2358</v>
      </c>
    </row>
    <row r="1931" spans="6:6" x14ac:dyDescent="0.25">
      <c r="F1931" t="s">
        <v>2359</v>
      </c>
    </row>
    <row r="1932" spans="6:6" x14ac:dyDescent="0.25">
      <c r="F1932" t="s">
        <v>2360</v>
      </c>
    </row>
    <row r="1933" spans="6:6" x14ac:dyDescent="0.25">
      <c r="F1933" t="s">
        <v>152</v>
      </c>
    </row>
    <row r="1934" spans="6:6" x14ac:dyDescent="0.25">
      <c r="F1934" t="s">
        <v>2361</v>
      </c>
    </row>
    <row r="1935" spans="6:6" x14ac:dyDescent="0.25">
      <c r="F1935" t="s">
        <v>2362</v>
      </c>
    </row>
    <row r="1936" spans="6:6" x14ac:dyDescent="0.25">
      <c r="F1936" t="s">
        <v>2363</v>
      </c>
    </row>
    <row r="1937" spans="6:6" x14ac:dyDescent="0.25">
      <c r="F1937" t="s">
        <v>2364</v>
      </c>
    </row>
    <row r="1938" spans="6:6" x14ac:dyDescent="0.25">
      <c r="F1938" t="s">
        <v>2365</v>
      </c>
    </row>
    <row r="1939" spans="6:6" x14ac:dyDescent="0.25">
      <c r="F1939" t="s">
        <v>2366</v>
      </c>
    </row>
    <row r="1940" spans="6:6" x14ac:dyDescent="0.25">
      <c r="F1940" t="s">
        <v>11</v>
      </c>
    </row>
    <row r="1941" spans="6:6" x14ac:dyDescent="0.25">
      <c r="F1941" t="s">
        <v>2367</v>
      </c>
    </row>
    <row r="1942" spans="6:6" x14ac:dyDescent="0.25">
      <c r="F1942" t="s">
        <v>2368</v>
      </c>
    </row>
    <row r="1943" spans="6:6" x14ac:dyDescent="0.25">
      <c r="F1943" t="s">
        <v>2369</v>
      </c>
    </row>
    <row r="1944" spans="6:6" x14ac:dyDescent="0.25">
      <c r="F1944" t="s">
        <v>2370</v>
      </c>
    </row>
    <row r="1945" spans="6:6" x14ac:dyDescent="0.25">
      <c r="F1945" t="s">
        <v>2371</v>
      </c>
    </row>
    <row r="1946" spans="6:6" x14ac:dyDescent="0.25">
      <c r="F1946" t="s">
        <v>2372</v>
      </c>
    </row>
    <row r="1947" spans="6:6" x14ac:dyDescent="0.25">
      <c r="F1947" t="s">
        <v>2373</v>
      </c>
    </row>
    <row r="1948" spans="6:6" x14ac:dyDescent="0.25">
      <c r="F1948" t="s">
        <v>2374</v>
      </c>
    </row>
    <row r="1949" spans="6:6" x14ac:dyDescent="0.25">
      <c r="F1949" t="s">
        <v>2375</v>
      </c>
    </row>
    <row r="1950" spans="6:6" x14ac:dyDescent="0.25">
      <c r="F1950" t="s">
        <v>2376</v>
      </c>
    </row>
    <row r="1951" spans="6:6" x14ac:dyDescent="0.25">
      <c r="F1951" t="s">
        <v>2377</v>
      </c>
    </row>
    <row r="1952" spans="6:6" x14ac:dyDescent="0.25">
      <c r="F1952" t="s">
        <v>2378</v>
      </c>
    </row>
    <row r="1953" spans="6:6" x14ac:dyDescent="0.25">
      <c r="F1953" t="s">
        <v>2379</v>
      </c>
    </row>
    <row r="1954" spans="6:6" x14ac:dyDescent="0.25">
      <c r="F1954" t="s">
        <v>2380</v>
      </c>
    </row>
    <row r="1955" spans="6:6" x14ac:dyDescent="0.25">
      <c r="F1955" t="s">
        <v>2381</v>
      </c>
    </row>
    <row r="1956" spans="6:6" x14ac:dyDescent="0.25">
      <c r="F1956" t="s">
        <v>2382</v>
      </c>
    </row>
    <row r="1957" spans="6:6" x14ac:dyDescent="0.25">
      <c r="F1957" t="s">
        <v>2383</v>
      </c>
    </row>
    <row r="1958" spans="6:6" x14ac:dyDescent="0.25">
      <c r="F1958" t="s">
        <v>2384</v>
      </c>
    </row>
    <row r="1959" spans="6:6" x14ac:dyDescent="0.25">
      <c r="F1959" t="s">
        <v>2385</v>
      </c>
    </row>
    <row r="1960" spans="6:6" x14ac:dyDescent="0.25">
      <c r="F1960" t="s">
        <v>2386</v>
      </c>
    </row>
    <row r="1961" spans="6:6" x14ac:dyDescent="0.25">
      <c r="F1961" t="s">
        <v>2387</v>
      </c>
    </row>
    <row r="1962" spans="6:6" x14ac:dyDescent="0.25">
      <c r="F1962" t="s">
        <v>2388</v>
      </c>
    </row>
    <row r="1963" spans="6:6" x14ac:dyDescent="0.25">
      <c r="F1963" t="s">
        <v>2389</v>
      </c>
    </row>
    <row r="1964" spans="6:6" x14ac:dyDescent="0.25">
      <c r="F1964" t="s">
        <v>2390</v>
      </c>
    </row>
    <row r="1965" spans="6:6" x14ac:dyDescent="0.25">
      <c r="F1965" t="s">
        <v>2391</v>
      </c>
    </row>
    <row r="1966" spans="6:6" x14ac:dyDescent="0.25">
      <c r="F1966" t="s">
        <v>2392</v>
      </c>
    </row>
    <row r="1967" spans="6:6" x14ac:dyDescent="0.25">
      <c r="F1967" t="s">
        <v>2393</v>
      </c>
    </row>
    <row r="1968" spans="6:6" x14ac:dyDescent="0.25">
      <c r="F1968" t="s">
        <v>2394</v>
      </c>
    </row>
    <row r="1969" spans="6:6" x14ac:dyDescent="0.25">
      <c r="F1969" t="s">
        <v>2395</v>
      </c>
    </row>
    <row r="1970" spans="6:6" x14ac:dyDescent="0.25">
      <c r="F1970" t="s">
        <v>2396</v>
      </c>
    </row>
    <row r="1971" spans="6:6" x14ac:dyDescent="0.25">
      <c r="F1971" t="s">
        <v>2397</v>
      </c>
    </row>
    <row r="1972" spans="6:6" x14ac:dyDescent="0.25">
      <c r="F1972" t="s">
        <v>2398</v>
      </c>
    </row>
    <row r="1973" spans="6:6" x14ac:dyDescent="0.25">
      <c r="F1973" t="s">
        <v>2399</v>
      </c>
    </row>
    <row r="1974" spans="6:6" x14ac:dyDescent="0.25">
      <c r="F1974" t="s">
        <v>2400</v>
      </c>
    </row>
    <row r="1975" spans="6:6" x14ac:dyDescent="0.25">
      <c r="F1975" t="s">
        <v>2401</v>
      </c>
    </row>
    <row r="1976" spans="6:6" x14ac:dyDescent="0.25">
      <c r="F1976" t="s">
        <v>2402</v>
      </c>
    </row>
    <row r="1977" spans="6:6" x14ac:dyDescent="0.25">
      <c r="F1977" t="s">
        <v>2403</v>
      </c>
    </row>
    <row r="1978" spans="6:6" x14ac:dyDescent="0.25">
      <c r="F1978" t="s">
        <v>2404</v>
      </c>
    </row>
    <row r="1979" spans="6:6" x14ac:dyDescent="0.25">
      <c r="F1979" t="s">
        <v>2405</v>
      </c>
    </row>
    <row r="1980" spans="6:6" x14ac:dyDescent="0.25">
      <c r="F1980" t="s">
        <v>1030</v>
      </c>
    </row>
    <row r="1981" spans="6:6" x14ac:dyDescent="0.25">
      <c r="F1981" t="s">
        <v>2406</v>
      </c>
    </row>
    <row r="1982" spans="6:6" x14ac:dyDescent="0.25">
      <c r="F1982" t="s">
        <v>2407</v>
      </c>
    </row>
    <row r="1983" spans="6:6" x14ac:dyDescent="0.25">
      <c r="F1983" t="s">
        <v>2408</v>
      </c>
    </row>
    <row r="1984" spans="6:6" x14ac:dyDescent="0.25">
      <c r="F1984" t="s">
        <v>2409</v>
      </c>
    </row>
    <row r="1985" spans="6:6" x14ac:dyDescent="0.25">
      <c r="F1985" t="s">
        <v>2410</v>
      </c>
    </row>
    <row r="1986" spans="6:6" x14ac:dyDescent="0.25">
      <c r="F1986" t="s">
        <v>2411</v>
      </c>
    </row>
    <row r="1987" spans="6:6" x14ac:dyDescent="0.25">
      <c r="F1987" t="s">
        <v>2412</v>
      </c>
    </row>
    <row r="1988" spans="6:6" x14ac:dyDescent="0.25">
      <c r="F1988" t="s">
        <v>2413</v>
      </c>
    </row>
    <row r="1989" spans="6:6" x14ac:dyDescent="0.25">
      <c r="F1989" t="s">
        <v>2414</v>
      </c>
    </row>
    <row r="1990" spans="6:6" x14ac:dyDescent="0.25">
      <c r="F1990" t="s">
        <v>2415</v>
      </c>
    </row>
    <row r="1991" spans="6:6" x14ac:dyDescent="0.25">
      <c r="F1991" t="s">
        <v>2416</v>
      </c>
    </row>
    <row r="1992" spans="6:6" x14ac:dyDescent="0.25">
      <c r="F1992" t="s">
        <v>2417</v>
      </c>
    </row>
    <row r="1993" spans="6:6" x14ac:dyDescent="0.25">
      <c r="F1993" t="s">
        <v>2418</v>
      </c>
    </row>
    <row r="1994" spans="6:6" x14ac:dyDescent="0.25">
      <c r="F1994" t="s">
        <v>2419</v>
      </c>
    </row>
    <row r="1995" spans="6:6" x14ac:dyDescent="0.25">
      <c r="F1995" t="s">
        <v>2420</v>
      </c>
    </row>
    <row r="1996" spans="6:6" x14ac:dyDescent="0.25">
      <c r="F1996" t="s">
        <v>2421</v>
      </c>
    </row>
    <row r="1997" spans="6:6" x14ac:dyDescent="0.25">
      <c r="F1997" t="s">
        <v>2422</v>
      </c>
    </row>
    <row r="1998" spans="6:6" x14ac:dyDescent="0.25">
      <c r="F1998" t="s">
        <v>233</v>
      </c>
    </row>
    <row r="1999" spans="6:6" x14ac:dyDescent="0.25">
      <c r="F1999" t="s">
        <v>2423</v>
      </c>
    </row>
    <row r="2000" spans="6:6" x14ac:dyDescent="0.25">
      <c r="F2000" t="s">
        <v>2424</v>
      </c>
    </row>
    <row r="2001" spans="6:6" x14ac:dyDescent="0.25">
      <c r="F2001" t="s">
        <v>2425</v>
      </c>
    </row>
    <row r="2002" spans="6:6" x14ac:dyDescent="0.25">
      <c r="F2002" t="s">
        <v>2426</v>
      </c>
    </row>
    <row r="2003" spans="6:6" x14ac:dyDescent="0.25">
      <c r="F2003" t="s">
        <v>2427</v>
      </c>
    </row>
    <row r="2004" spans="6:6" x14ac:dyDescent="0.25">
      <c r="F2004" t="s">
        <v>2428</v>
      </c>
    </row>
    <row r="2005" spans="6:6" x14ac:dyDescent="0.25">
      <c r="F2005" t="s">
        <v>2429</v>
      </c>
    </row>
    <row r="2006" spans="6:6" x14ac:dyDescent="0.25">
      <c r="F2006" t="s">
        <v>2430</v>
      </c>
    </row>
    <row r="2007" spans="6:6" x14ac:dyDescent="0.25">
      <c r="F2007" t="s">
        <v>2431</v>
      </c>
    </row>
    <row r="2008" spans="6:6" x14ac:dyDescent="0.25">
      <c r="F2008" t="s">
        <v>2432</v>
      </c>
    </row>
    <row r="2009" spans="6:6" x14ac:dyDescent="0.25">
      <c r="F2009" t="s">
        <v>2433</v>
      </c>
    </row>
    <row r="2010" spans="6:6" x14ac:dyDescent="0.25">
      <c r="F2010" t="s">
        <v>2434</v>
      </c>
    </row>
    <row r="2011" spans="6:6" x14ac:dyDescent="0.25">
      <c r="F2011" t="s">
        <v>2435</v>
      </c>
    </row>
    <row r="2012" spans="6:6" x14ac:dyDescent="0.25">
      <c r="F2012" t="s">
        <v>2436</v>
      </c>
    </row>
    <row r="2013" spans="6:6" x14ac:dyDescent="0.25">
      <c r="F2013" t="s">
        <v>2437</v>
      </c>
    </row>
    <row r="2014" spans="6:6" x14ac:dyDescent="0.25">
      <c r="F2014" t="s">
        <v>2438</v>
      </c>
    </row>
    <row r="2015" spans="6:6" x14ac:dyDescent="0.25">
      <c r="F2015" t="s">
        <v>2439</v>
      </c>
    </row>
    <row r="2016" spans="6:6" x14ac:dyDescent="0.25">
      <c r="F2016" t="s">
        <v>2440</v>
      </c>
    </row>
    <row r="2017" spans="6:6" x14ac:dyDescent="0.25">
      <c r="F2017" t="s">
        <v>2441</v>
      </c>
    </row>
    <row r="2018" spans="6:6" x14ac:dyDescent="0.25">
      <c r="F2018" t="s">
        <v>2442</v>
      </c>
    </row>
    <row r="2019" spans="6:6" x14ac:dyDescent="0.25">
      <c r="F2019" t="s">
        <v>2443</v>
      </c>
    </row>
    <row r="2020" spans="6:6" x14ac:dyDescent="0.25">
      <c r="F2020" t="s">
        <v>2444</v>
      </c>
    </row>
    <row r="2021" spans="6:6" x14ac:dyDescent="0.25">
      <c r="F2021" t="s">
        <v>2445</v>
      </c>
    </row>
    <row r="2022" spans="6:6" x14ac:dyDescent="0.25">
      <c r="F2022" t="s">
        <v>2446</v>
      </c>
    </row>
    <row r="2023" spans="6:6" x14ac:dyDescent="0.25">
      <c r="F2023" t="s">
        <v>2447</v>
      </c>
    </row>
    <row r="2024" spans="6:6" x14ac:dyDescent="0.25">
      <c r="F2024" t="s">
        <v>2448</v>
      </c>
    </row>
    <row r="2025" spans="6:6" x14ac:dyDescent="0.25">
      <c r="F2025" t="s">
        <v>2449</v>
      </c>
    </row>
    <row r="2026" spans="6:6" x14ac:dyDescent="0.25">
      <c r="F2026" t="s">
        <v>2450</v>
      </c>
    </row>
    <row r="2027" spans="6:6" x14ac:dyDescent="0.25">
      <c r="F2027" t="s">
        <v>2451</v>
      </c>
    </row>
    <row r="2028" spans="6:6" x14ac:dyDescent="0.25">
      <c r="F2028" t="s">
        <v>2452</v>
      </c>
    </row>
    <row r="2029" spans="6:6" x14ac:dyDescent="0.25">
      <c r="F2029" t="s">
        <v>2453</v>
      </c>
    </row>
    <row r="2030" spans="6:6" x14ac:dyDescent="0.25">
      <c r="F2030" t="s">
        <v>2454</v>
      </c>
    </row>
    <row r="2031" spans="6:6" x14ac:dyDescent="0.25">
      <c r="F2031" t="s">
        <v>2455</v>
      </c>
    </row>
    <row r="2032" spans="6:6" x14ac:dyDescent="0.25">
      <c r="F2032" t="s">
        <v>2456</v>
      </c>
    </row>
    <row r="2033" spans="6:6" x14ac:dyDescent="0.25">
      <c r="F2033" t="s">
        <v>2457</v>
      </c>
    </row>
    <row r="2034" spans="6:6" x14ac:dyDescent="0.25">
      <c r="F2034" t="s">
        <v>2458</v>
      </c>
    </row>
    <row r="2035" spans="6:6" x14ac:dyDescent="0.25">
      <c r="F2035" t="s">
        <v>2459</v>
      </c>
    </row>
    <row r="2036" spans="6:6" x14ac:dyDescent="0.25">
      <c r="F2036" t="s">
        <v>2460</v>
      </c>
    </row>
    <row r="2037" spans="6:6" x14ac:dyDescent="0.25">
      <c r="F2037" t="s">
        <v>2461</v>
      </c>
    </row>
    <row r="2038" spans="6:6" x14ac:dyDescent="0.25">
      <c r="F2038" t="s">
        <v>2462</v>
      </c>
    </row>
    <row r="2039" spans="6:6" x14ac:dyDescent="0.25">
      <c r="F2039" t="s">
        <v>2463</v>
      </c>
    </row>
    <row r="2040" spans="6:6" x14ac:dyDescent="0.25">
      <c r="F2040" t="s">
        <v>2464</v>
      </c>
    </row>
    <row r="2041" spans="6:6" x14ac:dyDescent="0.25">
      <c r="F2041" t="s">
        <v>2465</v>
      </c>
    </row>
    <row r="2042" spans="6:6" x14ac:dyDescent="0.25">
      <c r="F2042" t="s">
        <v>2466</v>
      </c>
    </row>
    <row r="2043" spans="6:6" x14ac:dyDescent="0.25">
      <c r="F2043" t="s">
        <v>2467</v>
      </c>
    </row>
    <row r="2044" spans="6:6" x14ac:dyDescent="0.25">
      <c r="F2044" t="s">
        <v>2468</v>
      </c>
    </row>
    <row r="2045" spans="6:6" x14ac:dyDescent="0.25">
      <c r="F2045" t="s">
        <v>2469</v>
      </c>
    </row>
    <row r="2046" spans="6:6" x14ac:dyDescent="0.25">
      <c r="F2046" t="s">
        <v>2470</v>
      </c>
    </row>
    <row r="2047" spans="6:6" x14ac:dyDescent="0.25">
      <c r="F2047" t="s">
        <v>2471</v>
      </c>
    </row>
    <row r="2048" spans="6:6" x14ac:dyDescent="0.25">
      <c r="F2048" t="s">
        <v>2472</v>
      </c>
    </row>
    <row r="2049" spans="6:6" x14ac:dyDescent="0.25">
      <c r="F2049" t="s">
        <v>2473</v>
      </c>
    </row>
    <row r="2050" spans="6:6" x14ac:dyDescent="0.25">
      <c r="F2050" t="s">
        <v>2474</v>
      </c>
    </row>
    <row r="2051" spans="6:6" x14ac:dyDescent="0.25">
      <c r="F2051" t="s">
        <v>2475</v>
      </c>
    </row>
    <row r="2052" spans="6:6" x14ac:dyDescent="0.25">
      <c r="F2052" t="s">
        <v>2476</v>
      </c>
    </row>
    <row r="2053" spans="6:6" x14ac:dyDescent="0.25">
      <c r="F2053" t="s">
        <v>2477</v>
      </c>
    </row>
    <row r="2054" spans="6:6" x14ac:dyDescent="0.25">
      <c r="F2054" t="s">
        <v>2478</v>
      </c>
    </row>
    <row r="2055" spans="6:6" x14ac:dyDescent="0.25">
      <c r="F2055" t="s">
        <v>2479</v>
      </c>
    </row>
    <row r="2056" spans="6:6" x14ac:dyDescent="0.25">
      <c r="F2056" t="s">
        <v>2480</v>
      </c>
    </row>
    <row r="2057" spans="6:6" x14ac:dyDescent="0.25">
      <c r="F2057" t="s">
        <v>2481</v>
      </c>
    </row>
    <row r="2058" spans="6:6" x14ac:dyDescent="0.25">
      <c r="F2058" t="s">
        <v>2482</v>
      </c>
    </row>
    <row r="2059" spans="6:6" x14ac:dyDescent="0.25">
      <c r="F2059" t="s">
        <v>2483</v>
      </c>
    </row>
    <row r="2060" spans="6:6" x14ac:dyDescent="0.25">
      <c r="F2060" t="s">
        <v>2484</v>
      </c>
    </row>
    <row r="2061" spans="6:6" x14ac:dyDescent="0.25">
      <c r="F2061" t="s">
        <v>2485</v>
      </c>
    </row>
    <row r="2062" spans="6:6" x14ac:dyDescent="0.25">
      <c r="F2062" t="s">
        <v>2486</v>
      </c>
    </row>
    <row r="2063" spans="6:6" x14ac:dyDescent="0.25">
      <c r="F2063" t="s">
        <v>2487</v>
      </c>
    </row>
    <row r="2064" spans="6:6" x14ac:dyDescent="0.25">
      <c r="F2064" t="s">
        <v>2488</v>
      </c>
    </row>
    <row r="2065" spans="6:6" x14ac:dyDescent="0.25">
      <c r="F2065" t="s">
        <v>2489</v>
      </c>
    </row>
    <row r="2066" spans="6:6" x14ac:dyDescent="0.25">
      <c r="F2066" t="s">
        <v>2490</v>
      </c>
    </row>
    <row r="2067" spans="6:6" x14ac:dyDescent="0.25">
      <c r="F2067" t="s">
        <v>2491</v>
      </c>
    </row>
    <row r="2068" spans="6:6" x14ac:dyDescent="0.25">
      <c r="F2068" t="s">
        <v>2492</v>
      </c>
    </row>
    <row r="2069" spans="6:6" x14ac:dyDescent="0.25">
      <c r="F2069" t="s">
        <v>2493</v>
      </c>
    </row>
    <row r="2070" spans="6:6" x14ac:dyDescent="0.25">
      <c r="F2070" t="s">
        <v>2494</v>
      </c>
    </row>
    <row r="2071" spans="6:6" x14ac:dyDescent="0.25">
      <c r="F2071" t="s">
        <v>2495</v>
      </c>
    </row>
    <row r="2072" spans="6:6" x14ac:dyDescent="0.25">
      <c r="F2072" t="s">
        <v>2496</v>
      </c>
    </row>
    <row r="2073" spans="6:6" x14ac:dyDescent="0.25">
      <c r="F2073" t="s">
        <v>2497</v>
      </c>
    </row>
    <row r="2074" spans="6:6" x14ac:dyDescent="0.25">
      <c r="F2074" t="s">
        <v>2498</v>
      </c>
    </row>
    <row r="2075" spans="6:6" x14ac:dyDescent="0.25">
      <c r="F2075" t="s">
        <v>2499</v>
      </c>
    </row>
    <row r="2076" spans="6:6" x14ac:dyDescent="0.25">
      <c r="F2076" t="s">
        <v>2500</v>
      </c>
    </row>
    <row r="2077" spans="6:6" x14ac:dyDescent="0.25">
      <c r="F2077" t="s">
        <v>2501</v>
      </c>
    </row>
    <row r="2078" spans="6:6" x14ac:dyDescent="0.25">
      <c r="F2078" t="s">
        <v>2502</v>
      </c>
    </row>
    <row r="2079" spans="6:6" x14ac:dyDescent="0.25">
      <c r="F2079" t="s">
        <v>2503</v>
      </c>
    </row>
    <row r="2080" spans="6:6" x14ac:dyDescent="0.25">
      <c r="F2080" t="s">
        <v>2504</v>
      </c>
    </row>
    <row r="2081" spans="6:6" x14ac:dyDescent="0.25">
      <c r="F2081" t="s">
        <v>2505</v>
      </c>
    </row>
    <row r="2082" spans="6:6" x14ac:dyDescent="0.25">
      <c r="F2082" t="s">
        <v>2506</v>
      </c>
    </row>
    <row r="2083" spans="6:6" x14ac:dyDescent="0.25">
      <c r="F2083" t="s">
        <v>2507</v>
      </c>
    </row>
    <row r="2084" spans="6:6" x14ac:dyDescent="0.25">
      <c r="F2084" t="s">
        <v>2508</v>
      </c>
    </row>
    <row r="2085" spans="6:6" x14ac:dyDescent="0.25">
      <c r="F2085" t="s">
        <v>2509</v>
      </c>
    </row>
    <row r="2086" spans="6:6" x14ac:dyDescent="0.25">
      <c r="F2086" t="s">
        <v>2510</v>
      </c>
    </row>
    <row r="2087" spans="6:6" x14ac:dyDescent="0.25">
      <c r="F2087" t="s">
        <v>2511</v>
      </c>
    </row>
    <row r="2088" spans="6:6" x14ac:dyDescent="0.25">
      <c r="F2088" t="s">
        <v>2512</v>
      </c>
    </row>
    <row r="2089" spans="6:6" x14ac:dyDescent="0.25">
      <c r="F2089" t="s">
        <v>2513</v>
      </c>
    </row>
    <row r="2090" spans="6:6" x14ac:dyDescent="0.25">
      <c r="F2090" t="s">
        <v>2514</v>
      </c>
    </row>
    <row r="2091" spans="6:6" x14ac:dyDescent="0.25">
      <c r="F2091" t="s">
        <v>2515</v>
      </c>
    </row>
    <row r="2092" spans="6:6" x14ac:dyDescent="0.25">
      <c r="F2092" t="s">
        <v>2516</v>
      </c>
    </row>
    <row r="2093" spans="6:6" x14ac:dyDescent="0.25">
      <c r="F2093" t="s">
        <v>2517</v>
      </c>
    </row>
    <row r="2094" spans="6:6" x14ac:dyDescent="0.25">
      <c r="F2094" t="s">
        <v>2518</v>
      </c>
    </row>
    <row r="2095" spans="6:6" x14ac:dyDescent="0.25">
      <c r="F2095" t="s">
        <v>2519</v>
      </c>
    </row>
    <row r="2096" spans="6:6" x14ac:dyDescent="0.25">
      <c r="F2096" t="s">
        <v>2520</v>
      </c>
    </row>
    <row r="2097" spans="6:6" x14ac:dyDescent="0.25">
      <c r="F2097" t="s">
        <v>2521</v>
      </c>
    </row>
    <row r="2098" spans="6:6" x14ac:dyDescent="0.25">
      <c r="F2098" t="s">
        <v>2522</v>
      </c>
    </row>
    <row r="2099" spans="6:6" x14ac:dyDescent="0.25">
      <c r="F2099" t="s">
        <v>2523</v>
      </c>
    </row>
    <row r="2100" spans="6:6" x14ac:dyDescent="0.25">
      <c r="F2100" t="s">
        <v>2524</v>
      </c>
    </row>
    <row r="2101" spans="6:6" x14ac:dyDescent="0.25">
      <c r="F2101" t="s">
        <v>2525</v>
      </c>
    </row>
    <row r="2102" spans="6:6" x14ac:dyDescent="0.25">
      <c r="F2102" t="s">
        <v>2526</v>
      </c>
    </row>
    <row r="2103" spans="6:6" x14ac:dyDescent="0.25">
      <c r="F2103" t="s">
        <v>2527</v>
      </c>
    </row>
    <row r="2104" spans="6:6" x14ac:dyDescent="0.25">
      <c r="F2104" t="s">
        <v>2528</v>
      </c>
    </row>
    <row r="2105" spans="6:6" x14ac:dyDescent="0.25">
      <c r="F2105" t="s">
        <v>2529</v>
      </c>
    </row>
    <row r="2106" spans="6:6" x14ac:dyDescent="0.25">
      <c r="F2106" t="s">
        <v>2530</v>
      </c>
    </row>
    <row r="2107" spans="6:6" x14ac:dyDescent="0.25">
      <c r="F2107" t="s">
        <v>2531</v>
      </c>
    </row>
    <row r="2108" spans="6:6" x14ac:dyDescent="0.25">
      <c r="F2108" t="s">
        <v>2532</v>
      </c>
    </row>
    <row r="2109" spans="6:6" x14ac:dyDescent="0.25">
      <c r="F2109" t="s">
        <v>2533</v>
      </c>
    </row>
    <row r="2110" spans="6:6" x14ac:dyDescent="0.25">
      <c r="F2110" t="s">
        <v>2534</v>
      </c>
    </row>
    <row r="2111" spans="6:6" x14ac:dyDescent="0.25">
      <c r="F2111" t="s">
        <v>2535</v>
      </c>
    </row>
    <row r="2112" spans="6:6" x14ac:dyDescent="0.25">
      <c r="F2112" t="s">
        <v>2536</v>
      </c>
    </row>
    <row r="2113" spans="6:6" x14ac:dyDescent="0.25">
      <c r="F2113" t="s">
        <v>2537</v>
      </c>
    </row>
    <row r="2114" spans="6:6" x14ac:dyDescent="0.25">
      <c r="F2114" t="s">
        <v>2538</v>
      </c>
    </row>
    <row r="2115" spans="6:6" x14ac:dyDescent="0.25">
      <c r="F2115" t="s">
        <v>2539</v>
      </c>
    </row>
    <row r="2116" spans="6:6" x14ac:dyDescent="0.25">
      <c r="F2116" t="s">
        <v>2540</v>
      </c>
    </row>
    <row r="2117" spans="6:6" x14ac:dyDescent="0.25">
      <c r="F2117" t="s">
        <v>2541</v>
      </c>
    </row>
    <row r="2118" spans="6:6" x14ac:dyDescent="0.25">
      <c r="F2118" t="s">
        <v>2542</v>
      </c>
    </row>
    <row r="2119" spans="6:6" x14ac:dyDescent="0.25">
      <c r="F2119" t="s">
        <v>2543</v>
      </c>
    </row>
    <row r="2120" spans="6:6" x14ac:dyDescent="0.25">
      <c r="F2120" t="s">
        <v>2544</v>
      </c>
    </row>
    <row r="2121" spans="6:6" x14ac:dyDescent="0.25">
      <c r="F2121" t="s">
        <v>2545</v>
      </c>
    </row>
    <row r="2122" spans="6:6" x14ac:dyDescent="0.25">
      <c r="F2122" t="s">
        <v>2546</v>
      </c>
    </row>
    <row r="2123" spans="6:6" x14ac:dyDescent="0.25">
      <c r="F2123" t="s">
        <v>2547</v>
      </c>
    </row>
    <row r="2124" spans="6:6" x14ac:dyDescent="0.25">
      <c r="F2124" t="s">
        <v>2548</v>
      </c>
    </row>
    <row r="2125" spans="6:6" x14ac:dyDescent="0.25">
      <c r="F2125" t="s">
        <v>2549</v>
      </c>
    </row>
    <row r="2126" spans="6:6" x14ac:dyDescent="0.25">
      <c r="F2126" t="s">
        <v>2550</v>
      </c>
    </row>
    <row r="2127" spans="6:6" x14ac:dyDescent="0.25">
      <c r="F2127" t="s">
        <v>2551</v>
      </c>
    </row>
    <row r="2128" spans="6:6" x14ac:dyDescent="0.25">
      <c r="F2128" t="s">
        <v>2552</v>
      </c>
    </row>
    <row r="2129" spans="6:6" x14ac:dyDescent="0.25">
      <c r="F2129" t="s">
        <v>2553</v>
      </c>
    </row>
    <row r="2130" spans="6:6" x14ac:dyDescent="0.25">
      <c r="F2130" t="s">
        <v>2554</v>
      </c>
    </row>
    <row r="2131" spans="6:6" x14ac:dyDescent="0.25">
      <c r="F2131" t="s">
        <v>2555</v>
      </c>
    </row>
    <row r="2132" spans="6:6" x14ac:dyDescent="0.25">
      <c r="F2132" t="s">
        <v>219</v>
      </c>
    </row>
    <row r="2133" spans="6:6" x14ac:dyDescent="0.25">
      <c r="F2133" t="s">
        <v>2556</v>
      </c>
    </row>
    <row r="2134" spans="6:6" x14ac:dyDescent="0.25">
      <c r="F2134" t="s">
        <v>2557</v>
      </c>
    </row>
    <row r="2135" spans="6:6" x14ac:dyDescent="0.25">
      <c r="F2135" t="s">
        <v>2558</v>
      </c>
    </row>
    <row r="2136" spans="6:6" x14ac:dyDescent="0.25">
      <c r="F2136" t="s">
        <v>2559</v>
      </c>
    </row>
    <row r="2137" spans="6:6" x14ac:dyDescent="0.25">
      <c r="F2137" t="s">
        <v>2560</v>
      </c>
    </row>
    <row r="2138" spans="6:6" x14ac:dyDescent="0.25">
      <c r="F2138" t="s">
        <v>2561</v>
      </c>
    </row>
    <row r="2139" spans="6:6" x14ac:dyDescent="0.25">
      <c r="F2139" t="s">
        <v>2562</v>
      </c>
    </row>
    <row r="2140" spans="6:6" x14ac:dyDescent="0.25">
      <c r="F2140" t="s">
        <v>2563</v>
      </c>
    </row>
    <row r="2141" spans="6:6" x14ac:dyDescent="0.25">
      <c r="F2141" t="s">
        <v>2564</v>
      </c>
    </row>
    <row r="2142" spans="6:6" x14ac:dyDescent="0.25">
      <c r="F2142" t="s">
        <v>2565</v>
      </c>
    </row>
    <row r="2143" spans="6:6" x14ac:dyDescent="0.25">
      <c r="F2143" t="s">
        <v>2566</v>
      </c>
    </row>
    <row r="2144" spans="6:6" x14ac:dyDescent="0.25">
      <c r="F2144" t="s">
        <v>2567</v>
      </c>
    </row>
    <row r="2145" spans="6:6" x14ac:dyDescent="0.25">
      <c r="F2145" t="s">
        <v>2568</v>
      </c>
    </row>
    <row r="2146" spans="6:6" x14ac:dyDescent="0.25">
      <c r="F2146" t="s">
        <v>2569</v>
      </c>
    </row>
    <row r="2147" spans="6:6" x14ac:dyDescent="0.25">
      <c r="F2147" t="s">
        <v>2570</v>
      </c>
    </row>
    <row r="2148" spans="6:6" x14ac:dyDescent="0.25">
      <c r="F2148" t="s">
        <v>2571</v>
      </c>
    </row>
    <row r="2149" spans="6:6" x14ac:dyDescent="0.25">
      <c r="F2149" t="s">
        <v>2572</v>
      </c>
    </row>
    <row r="2150" spans="6:6" x14ac:dyDescent="0.25">
      <c r="F2150" t="s">
        <v>2573</v>
      </c>
    </row>
    <row r="2151" spans="6:6" x14ac:dyDescent="0.25">
      <c r="F2151" t="s">
        <v>2574</v>
      </c>
    </row>
    <row r="2152" spans="6:6" x14ac:dyDescent="0.25">
      <c r="F2152" t="s">
        <v>2575</v>
      </c>
    </row>
    <row r="2153" spans="6:6" x14ac:dyDescent="0.25">
      <c r="F2153" t="s">
        <v>2576</v>
      </c>
    </row>
    <row r="2154" spans="6:6" x14ac:dyDescent="0.25">
      <c r="F2154" t="s">
        <v>2577</v>
      </c>
    </row>
    <row r="2155" spans="6:6" x14ac:dyDescent="0.25">
      <c r="F2155" t="s">
        <v>2578</v>
      </c>
    </row>
    <row r="2156" spans="6:6" x14ac:dyDescent="0.25">
      <c r="F2156" t="s">
        <v>2579</v>
      </c>
    </row>
    <row r="2157" spans="6:6" x14ac:dyDescent="0.25">
      <c r="F2157" t="s">
        <v>2580</v>
      </c>
    </row>
    <row r="2158" spans="6:6" x14ac:dyDescent="0.25">
      <c r="F2158" t="s">
        <v>2581</v>
      </c>
    </row>
    <row r="2159" spans="6:6" x14ac:dyDescent="0.25">
      <c r="F2159" t="s">
        <v>2582</v>
      </c>
    </row>
    <row r="2160" spans="6:6" x14ac:dyDescent="0.25">
      <c r="F2160" t="s">
        <v>2583</v>
      </c>
    </row>
    <row r="2161" spans="6:6" x14ac:dyDescent="0.25">
      <c r="F2161" t="s">
        <v>2584</v>
      </c>
    </row>
    <row r="2162" spans="6:6" x14ac:dyDescent="0.25">
      <c r="F2162" t="s">
        <v>2585</v>
      </c>
    </row>
    <row r="2163" spans="6:6" x14ac:dyDescent="0.25">
      <c r="F2163" t="s">
        <v>2586</v>
      </c>
    </row>
    <row r="2164" spans="6:6" x14ac:dyDescent="0.25">
      <c r="F2164" t="s">
        <v>2587</v>
      </c>
    </row>
    <row r="2165" spans="6:6" x14ac:dyDescent="0.25">
      <c r="F2165" t="s">
        <v>2588</v>
      </c>
    </row>
    <row r="2166" spans="6:6" x14ac:dyDescent="0.25">
      <c r="F2166" t="s">
        <v>2589</v>
      </c>
    </row>
    <row r="2167" spans="6:6" x14ac:dyDescent="0.25">
      <c r="F2167" t="s">
        <v>2590</v>
      </c>
    </row>
    <row r="2168" spans="6:6" x14ac:dyDescent="0.25">
      <c r="F2168" t="s">
        <v>2591</v>
      </c>
    </row>
    <row r="2169" spans="6:6" x14ac:dyDescent="0.25">
      <c r="F2169" t="s">
        <v>2592</v>
      </c>
    </row>
    <row r="2170" spans="6:6" x14ac:dyDescent="0.25">
      <c r="F2170" t="s">
        <v>2593</v>
      </c>
    </row>
    <row r="2171" spans="6:6" x14ac:dyDescent="0.25">
      <c r="F2171" t="s">
        <v>2594</v>
      </c>
    </row>
    <row r="2172" spans="6:6" x14ac:dyDescent="0.25">
      <c r="F2172" t="s">
        <v>2595</v>
      </c>
    </row>
    <row r="2173" spans="6:6" x14ac:dyDescent="0.25">
      <c r="F2173" t="s">
        <v>2596</v>
      </c>
    </row>
    <row r="2174" spans="6:6" x14ac:dyDescent="0.25">
      <c r="F2174" t="s">
        <v>2597</v>
      </c>
    </row>
    <row r="2175" spans="6:6" x14ac:dyDescent="0.25">
      <c r="F2175" t="s">
        <v>2598</v>
      </c>
    </row>
    <row r="2176" spans="6:6" x14ac:dyDescent="0.25">
      <c r="F2176" t="s">
        <v>2599</v>
      </c>
    </row>
    <row r="2177" spans="6:6" x14ac:dyDescent="0.25">
      <c r="F2177" t="s">
        <v>158</v>
      </c>
    </row>
    <row r="2178" spans="6:6" x14ac:dyDescent="0.25">
      <c r="F2178" t="s">
        <v>2600</v>
      </c>
    </row>
    <row r="2179" spans="6:6" x14ac:dyDescent="0.25">
      <c r="F2179" t="s">
        <v>2601</v>
      </c>
    </row>
    <row r="2180" spans="6:6" x14ac:dyDescent="0.25">
      <c r="F2180" t="s">
        <v>2602</v>
      </c>
    </row>
    <row r="2181" spans="6:6" x14ac:dyDescent="0.25">
      <c r="F2181" t="s">
        <v>2603</v>
      </c>
    </row>
    <row r="2182" spans="6:6" x14ac:dyDescent="0.25">
      <c r="F2182" t="s">
        <v>2604</v>
      </c>
    </row>
    <row r="2183" spans="6:6" x14ac:dyDescent="0.25">
      <c r="F2183" t="s">
        <v>2605</v>
      </c>
    </row>
    <row r="2184" spans="6:6" x14ac:dyDescent="0.25">
      <c r="F2184" t="s">
        <v>2606</v>
      </c>
    </row>
    <row r="2185" spans="6:6" x14ac:dyDescent="0.25">
      <c r="F2185" t="s">
        <v>2607</v>
      </c>
    </row>
    <row r="2186" spans="6:6" x14ac:dyDescent="0.25">
      <c r="F2186" t="s">
        <v>2608</v>
      </c>
    </row>
    <row r="2187" spans="6:6" x14ac:dyDescent="0.25">
      <c r="F2187" t="s">
        <v>2609</v>
      </c>
    </row>
    <row r="2188" spans="6:6" x14ac:dyDescent="0.25">
      <c r="F2188" t="s">
        <v>2610</v>
      </c>
    </row>
    <row r="2189" spans="6:6" x14ac:dyDescent="0.25">
      <c r="F2189" t="s">
        <v>2611</v>
      </c>
    </row>
    <row r="2190" spans="6:6" x14ac:dyDescent="0.25">
      <c r="F2190" t="s">
        <v>2612</v>
      </c>
    </row>
    <row r="2191" spans="6:6" x14ac:dyDescent="0.25">
      <c r="F2191" t="s">
        <v>2613</v>
      </c>
    </row>
    <row r="2192" spans="6:6" x14ac:dyDescent="0.25">
      <c r="F2192" t="s">
        <v>2614</v>
      </c>
    </row>
    <row r="2193" spans="6:6" x14ac:dyDescent="0.25">
      <c r="F2193" t="s">
        <v>2615</v>
      </c>
    </row>
    <row r="2194" spans="6:6" x14ac:dyDescent="0.25">
      <c r="F2194" t="s">
        <v>2616</v>
      </c>
    </row>
    <row r="2195" spans="6:6" x14ac:dyDescent="0.25">
      <c r="F2195" t="s">
        <v>2617</v>
      </c>
    </row>
    <row r="2196" spans="6:6" x14ac:dyDescent="0.25">
      <c r="F2196" t="s">
        <v>2618</v>
      </c>
    </row>
    <row r="2197" spans="6:6" x14ac:dyDescent="0.25">
      <c r="F2197" t="s">
        <v>2619</v>
      </c>
    </row>
    <row r="2198" spans="6:6" x14ac:dyDescent="0.25">
      <c r="F2198" t="s">
        <v>2620</v>
      </c>
    </row>
    <row r="2199" spans="6:6" x14ac:dyDescent="0.25">
      <c r="F2199" t="s">
        <v>2621</v>
      </c>
    </row>
    <row r="2200" spans="6:6" x14ac:dyDescent="0.25">
      <c r="F2200" t="s">
        <v>2622</v>
      </c>
    </row>
    <row r="2201" spans="6:6" x14ac:dyDescent="0.25">
      <c r="F2201" t="s">
        <v>982</v>
      </c>
    </row>
    <row r="2202" spans="6:6" x14ac:dyDescent="0.25">
      <c r="F2202" t="s">
        <v>2623</v>
      </c>
    </row>
    <row r="2203" spans="6:6" x14ac:dyDescent="0.25">
      <c r="F2203" t="s">
        <v>2624</v>
      </c>
    </row>
    <row r="2204" spans="6:6" x14ac:dyDescent="0.25">
      <c r="F2204" t="s">
        <v>2625</v>
      </c>
    </row>
    <row r="2205" spans="6:6" x14ac:dyDescent="0.25">
      <c r="F2205" t="s">
        <v>103</v>
      </c>
    </row>
    <row r="2206" spans="6:6" x14ac:dyDescent="0.25">
      <c r="F2206" t="s">
        <v>2626</v>
      </c>
    </row>
    <row r="2207" spans="6:6" x14ac:dyDescent="0.25">
      <c r="F2207" t="s">
        <v>2627</v>
      </c>
    </row>
    <row r="2208" spans="6:6" x14ac:dyDescent="0.25">
      <c r="F2208" t="s">
        <v>2628</v>
      </c>
    </row>
    <row r="2209" spans="6:6" x14ac:dyDescent="0.25">
      <c r="F2209" t="s">
        <v>2629</v>
      </c>
    </row>
    <row r="2210" spans="6:6" x14ac:dyDescent="0.25">
      <c r="F2210" t="s">
        <v>2630</v>
      </c>
    </row>
    <row r="2211" spans="6:6" x14ac:dyDescent="0.25">
      <c r="F2211" t="s">
        <v>2631</v>
      </c>
    </row>
    <row r="2212" spans="6:6" x14ac:dyDescent="0.25">
      <c r="F2212" t="s">
        <v>2632</v>
      </c>
    </row>
    <row r="2213" spans="6:6" x14ac:dyDescent="0.25">
      <c r="F2213" t="s">
        <v>2633</v>
      </c>
    </row>
    <row r="2214" spans="6:6" x14ac:dyDescent="0.25">
      <c r="F2214" t="s">
        <v>2634</v>
      </c>
    </row>
    <row r="2215" spans="6:6" x14ac:dyDescent="0.25">
      <c r="F2215" t="s">
        <v>2635</v>
      </c>
    </row>
    <row r="2216" spans="6:6" x14ac:dyDescent="0.25">
      <c r="F2216" t="s">
        <v>2636</v>
      </c>
    </row>
    <row r="2217" spans="6:6" x14ac:dyDescent="0.25">
      <c r="F2217" t="s">
        <v>2637</v>
      </c>
    </row>
    <row r="2218" spans="6:6" x14ac:dyDescent="0.25">
      <c r="F2218" t="s">
        <v>209</v>
      </c>
    </row>
    <row r="2219" spans="6:6" x14ac:dyDescent="0.25">
      <c r="F2219" t="s">
        <v>2638</v>
      </c>
    </row>
    <row r="2220" spans="6:6" x14ac:dyDescent="0.25">
      <c r="F2220" t="s">
        <v>2639</v>
      </c>
    </row>
    <row r="2221" spans="6:6" x14ac:dyDescent="0.25">
      <c r="F2221" t="s">
        <v>2640</v>
      </c>
    </row>
    <row r="2222" spans="6:6" x14ac:dyDescent="0.25">
      <c r="F2222" t="s">
        <v>2641</v>
      </c>
    </row>
    <row r="2223" spans="6:6" x14ac:dyDescent="0.25">
      <c r="F2223" t="s">
        <v>2642</v>
      </c>
    </row>
    <row r="2224" spans="6:6" x14ac:dyDescent="0.25">
      <c r="F2224" t="s">
        <v>2643</v>
      </c>
    </row>
    <row r="2225" spans="6:6" x14ac:dyDescent="0.25">
      <c r="F2225" t="s">
        <v>2644</v>
      </c>
    </row>
    <row r="2226" spans="6:6" x14ac:dyDescent="0.25">
      <c r="F2226" t="s">
        <v>2645</v>
      </c>
    </row>
    <row r="2227" spans="6:6" x14ac:dyDescent="0.25">
      <c r="F2227" t="s">
        <v>2646</v>
      </c>
    </row>
    <row r="2228" spans="6:6" x14ac:dyDescent="0.25">
      <c r="F2228" t="s">
        <v>2647</v>
      </c>
    </row>
    <row r="2229" spans="6:6" x14ac:dyDescent="0.25">
      <c r="F2229" t="s">
        <v>2648</v>
      </c>
    </row>
    <row r="2230" spans="6:6" x14ac:dyDescent="0.25">
      <c r="F2230" t="s">
        <v>2649</v>
      </c>
    </row>
    <row r="2231" spans="6:6" x14ac:dyDescent="0.25">
      <c r="F2231" t="s">
        <v>2650</v>
      </c>
    </row>
    <row r="2232" spans="6:6" x14ac:dyDescent="0.25">
      <c r="F2232" t="s">
        <v>2651</v>
      </c>
    </row>
    <row r="2233" spans="6:6" x14ac:dyDescent="0.25">
      <c r="F2233" t="s">
        <v>2652</v>
      </c>
    </row>
    <row r="2234" spans="6:6" x14ac:dyDescent="0.25">
      <c r="F2234" t="s">
        <v>2653</v>
      </c>
    </row>
    <row r="2235" spans="6:6" x14ac:dyDescent="0.25">
      <c r="F2235" t="s">
        <v>2654</v>
      </c>
    </row>
    <row r="2236" spans="6:6" x14ac:dyDescent="0.25">
      <c r="F2236" t="s">
        <v>2655</v>
      </c>
    </row>
    <row r="2237" spans="6:6" x14ac:dyDescent="0.25">
      <c r="F2237" t="s">
        <v>2656</v>
      </c>
    </row>
    <row r="2238" spans="6:6" x14ac:dyDescent="0.25">
      <c r="F2238" t="s">
        <v>2657</v>
      </c>
    </row>
    <row r="2239" spans="6:6" x14ac:dyDescent="0.25">
      <c r="F2239" t="s">
        <v>2658</v>
      </c>
    </row>
    <row r="2240" spans="6:6" x14ac:dyDescent="0.25">
      <c r="F2240" t="s">
        <v>2659</v>
      </c>
    </row>
    <row r="2241" spans="6:6" x14ac:dyDescent="0.25">
      <c r="F2241" t="s">
        <v>2660</v>
      </c>
    </row>
    <row r="2242" spans="6:6" x14ac:dyDescent="0.25">
      <c r="F2242" t="s">
        <v>2661</v>
      </c>
    </row>
    <row r="2243" spans="6:6" x14ac:dyDescent="0.25">
      <c r="F2243" t="s">
        <v>2662</v>
      </c>
    </row>
    <row r="2244" spans="6:6" x14ac:dyDescent="0.25">
      <c r="F2244" t="s">
        <v>2663</v>
      </c>
    </row>
    <row r="2245" spans="6:6" x14ac:dyDescent="0.25">
      <c r="F2245" t="s">
        <v>2664</v>
      </c>
    </row>
    <row r="2246" spans="6:6" x14ac:dyDescent="0.25">
      <c r="F2246" t="s">
        <v>2665</v>
      </c>
    </row>
    <row r="2247" spans="6:6" x14ac:dyDescent="0.25">
      <c r="F2247" t="s">
        <v>2666</v>
      </c>
    </row>
    <row r="2248" spans="6:6" x14ac:dyDescent="0.25">
      <c r="F2248" t="s">
        <v>2667</v>
      </c>
    </row>
    <row r="2249" spans="6:6" x14ac:dyDescent="0.25">
      <c r="F2249" t="s">
        <v>2668</v>
      </c>
    </row>
    <row r="2250" spans="6:6" x14ac:dyDescent="0.25">
      <c r="F2250" t="s">
        <v>2669</v>
      </c>
    </row>
    <row r="2251" spans="6:6" x14ac:dyDescent="0.25">
      <c r="F2251" t="s">
        <v>2670</v>
      </c>
    </row>
    <row r="2252" spans="6:6" x14ac:dyDescent="0.25">
      <c r="F2252" t="s">
        <v>2671</v>
      </c>
    </row>
    <row r="2253" spans="6:6" x14ac:dyDescent="0.25">
      <c r="F2253" t="s">
        <v>2672</v>
      </c>
    </row>
    <row r="2254" spans="6:6" x14ac:dyDescent="0.25">
      <c r="F2254" t="s">
        <v>2673</v>
      </c>
    </row>
    <row r="2255" spans="6:6" x14ac:dyDescent="0.25">
      <c r="F2255" t="s">
        <v>2674</v>
      </c>
    </row>
    <row r="2256" spans="6:6" x14ac:dyDescent="0.25">
      <c r="F2256" t="s">
        <v>2675</v>
      </c>
    </row>
    <row r="2257" spans="6:6" x14ac:dyDescent="0.25">
      <c r="F2257" t="s">
        <v>2676</v>
      </c>
    </row>
    <row r="2258" spans="6:6" x14ac:dyDescent="0.25">
      <c r="F2258" t="s">
        <v>2677</v>
      </c>
    </row>
    <row r="2259" spans="6:6" x14ac:dyDescent="0.25">
      <c r="F2259" t="s">
        <v>2678</v>
      </c>
    </row>
    <row r="2260" spans="6:6" x14ac:dyDescent="0.25">
      <c r="F2260" t="s">
        <v>2679</v>
      </c>
    </row>
    <row r="2261" spans="6:6" x14ac:dyDescent="0.25">
      <c r="F2261" t="s">
        <v>2680</v>
      </c>
    </row>
    <row r="2262" spans="6:6" x14ac:dyDescent="0.25">
      <c r="F2262" t="s">
        <v>2681</v>
      </c>
    </row>
    <row r="2263" spans="6:6" x14ac:dyDescent="0.25">
      <c r="F2263" t="s">
        <v>2682</v>
      </c>
    </row>
    <row r="2264" spans="6:6" x14ac:dyDescent="0.25">
      <c r="F2264" t="s">
        <v>2683</v>
      </c>
    </row>
    <row r="2265" spans="6:6" x14ac:dyDescent="0.25">
      <c r="F2265" t="s">
        <v>2684</v>
      </c>
    </row>
    <row r="2266" spans="6:6" x14ac:dyDescent="0.25">
      <c r="F2266" t="s">
        <v>2685</v>
      </c>
    </row>
    <row r="2267" spans="6:6" x14ac:dyDescent="0.25">
      <c r="F2267" t="s">
        <v>2686</v>
      </c>
    </row>
    <row r="2268" spans="6:6" x14ac:dyDescent="0.25">
      <c r="F2268" t="s">
        <v>2687</v>
      </c>
    </row>
    <row r="2269" spans="6:6" x14ac:dyDescent="0.25">
      <c r="F2269" t="s">
        <v>2688</v>
      </c>
    </row>
    <row r="2270" spans="6:6" x14ac:dyDescent="0.25">
      <c r="F2270" t="s">
        <v>2689</v>
      </c>
    </row>
    <row r="2271" spans="6:6" x14ac:dyDescent="0.25">
      <c r="F2271" t="s">
        <v>2690</v>
      </c>
    </row>
    <row r="2272" spans="6:6" x14ac:dyDescent="0.25">
      <c r="F2272" t="s">
        <v>2691</v>
      </c>
    </row>
    <row r="2273" spans="6:6" x14ac:dyDescent="0.25">
      <c r="F2273" t="s">
        <v>2692</v>
      </c>
    </row>
    <row r="2274" spans="6:6" x14ac:dyDescent="0.25">
      <c r="F2274" t="s">
        <v>2693</v>
      </c>
    </row>
    <row r="2275" spans="6:6" x14ac:dyDescent="0.25">
      <c r="F2275" t="s">
        <v>2694</v>
      </c>
    </row>
    <row r="2276" spans="6:6" x14ac:dyDescent="0.25">
      <c r="F2276" t="s">
        <v>2695</v>
      </c>
    </row>
    <row r="2277" spans="6:6" x14ac:dyDescent="0.25">
      <c r="F2277" t="s">
        <v>2696</v>
      </c>
    </row>
    <row r="2278" spans="6:6" x14ac:dyDescent="0.25">
      <c r="F2278" t="s">
        <v>2697</v>
      </c>
    </row>
    <row r="2279" spans="6:6" x14ac:dyDescent="0.25">
      <c r="F2279" t="s">
        <v>2698</v>
      </c>
    </row>
    <row r="2280" spans="6:6" x14ac:dyDescent="0.25">
      <c r="F2280" t="s">
        <v>2699</v>
      </c>
    </row>
    <row r="2281" spans="6:6" x14ac:dyDescent="0.25">
      <c r="F2281" t="s">
        <v>2700</v>
      </c>
    </row>
    <row r="2282" spans="6:6" x14ac:dyDescent="0.25">
      <c r="F2282" t="s">
        <v>2701</v>
      </c>
    </row>
    <row r="2283" spans="6:6" x14ac:dyDescent="0.25">
      <c r="F2283" t="s">
        <v>2702</v>
      </c>
    </row>
    <row r="2284" spans="6:6" x14ac:dyDescent="0.25">
      <c r="F2284" t="s">
        <v>2703</v>
      </c>
    </row>
    <row r="2285" spans="6:6" x14ac:dyDescent="0.25">
      <c r="F2285" t="s">
        <v>2704</v>
      </c>
    </row>
    <row r="2286" spans="6:6" x14ac:dyDescent="0.25">
      <c r="F2286" t="s">
        <v>2705</v>
      </c>
    </row>
    <row r="2287" spans="6:6" x14ac:dyDescent="0.25">
      <c r="F2287" t="s">
        <v>2706</v>
      </c>
    </row>
    <row r="2288" spans="6:6" x14ac:dyDescent="0.25">
      <c r="F2288" t="s">
        <v>2707</v>
      </c>
    </row>
    <row r="2289" spans="6:6" x14ac:dyDescent="0.25">
      <c r="F2289" t="s">
        <v>2708</v>
      </c>
    </row>
    <row r="2290" spans="6:6" x14ac:dyDescent="0.25">
      <c r="F2290" t="s">
        <v>235</v>
      </c>
    </row>
    <row r="2291" spans="6:6" x14ac:dyDescent="0.25">
      <c r="F2291" t="s">
        <v>2709</v>
      </c>
    </row>
    <row r="2292" spans="6:6" x14ac:dyDescent="0.25">
      <c r="F2292" t="s">
        <v>2710</v>
      </c>
    </row>
    <row r="2293" spans="6:6" x14ac:dyDescent="0.25">
      <c r="F2293" t="s">
        <v>2711</v>
      </c>
    </row>
    <row r="2294" spans="6:6" x14ac:dyDescent="0.25">
      <c r="F2294" t="s">
        <v>2712</v>
      </c>
    </row>
    <row r="2295" spans="6:6" x14ac:dyDescent="0.25">
      <c r="F2295" t="s">
        <v>2713</v>
      </c>
    </row>
    <row r="2296" spans="6:6" x14ac:dyDescent="0.25">
      <c r="F2296" t="s">
        <v>2714</v>
      </c>
    </row>
    <row r="2297" spans="6:6" x14ac:dyDescent="0.25">
      <c r="F2297" t="s">
        <v>2715</v>
      </c>
    </row>
    <row r="2298" spans="6:6" x14ac:dyDescent="0.25">
      <c r="F2298" t="s">
        <v>2716</v>
      </c>
    </row>
    <row r="2299" spans="6:6" x14ac:dyDescent="0.25">
      <c r="F2299" t="s">
        <v>2717</v>
      </c>
    </row>
    <row r="2300" spans="6:6" x14ac:dyDescent="0.25">
      <c r="F2300" t="s">
        <v>2718</v>
      </c>
    </row>
    <row r="2301" spans="6:6" x14ac:dyDescent="0.25">
      <c r="F2301" t="s">
        <v>2719</v>
      </c>
    </row>
    <row r="2302" spans="6:6" x14ac:dyDescent="0.25">
      <c r="F2302" t="s">
        <v>2720</v>
      </c>
    </row>
    <row r="2303" spans="6:6" x14ac:dyDescent="0.25">
      <c r="F2303" t="s">
        <v>2721</v>
      </c>
    </row>
    <row r="2304" spans="6:6" x14ac:dyDescent="0.25">
      <c r="F2304" t="s">
        <v>2722</v>
      </c>
    </row>
    <row r="2305" spans="6:6" x14ac:dyDescent="0.25">
      <c r="F2305" t="s">
        <v>2723</v>
      </c>
    </row>
    <row r="2306" spans="6:6" x14ac:dyDescent="0.25">
      <c r="F2306" t="s">
        <v>2724</v>
      </c>
    </row>
    <row r="2307" spans="6:6" x14ac:dyDescent="0.25">
      <c r="F2307" t="s">
        <v>2725</v>
      </c>
    </row>
    <row r="2308" spans="6:6" x14ac:dyDescent="0.25">
      <c r="F2308" t="s">
        <v>2726</v>
      </c>
    </row>
    <row r="2309" spans="6:6" x14ac:dyDescent="0.25">
      <c r="F2309" t="s">
        <v>2727</v>
      </c>
    </row>
    <row r="2310" spans="6:6" x14ac:dyDescent="0.25">
      <c r="F2310" t="s">
        <v>2728</v>
      </c>
    </row>
    <row r="2311" spans="6:6" x14ac:dyDescent="0.25">
      <c r="F2311" t="s">
        <v>2729</v>
      </c>
    </row>
    <row r="2312" spans="6:6" x14ac:dyDescent="0.25">
      <c r="F2312" t="s">
        <v>2730</v>
      </c>
    </row>
    <row r="2313" spans="6:6" x14ac:dyDescent="0.25">
      <c r="F2313" t="s">
        <v>2731</v>
      </c>
    </row>
    <row r="2314" spans="6:6" x14ac:dyDescent="0.25">
      <c r="F2314" t="s">
        <v>2732</v>
      </c>
    </row>
    <row r="2315" spans="6:6" x14ac:dyDescent="0.25">
      <c r="F2315" t="s">
        <v>2733</v>
      </c>
    </row>
    <row r="2316" spans="6:6" x14ac:dyDescent="0.25">
      <c r="F2316" t="s">
        <v>2734</v>
      </c>
    </row>
    <row r="2317" spans="6:6" x14ac:dyDescent="0.25">
      <c r="F2317" t="s">
        <v>2735</v>
      </c>
    </row>
    <row r="2318" spans="6:6" x14ac:dyDescent="0.25">
      <c r="F2318" t="s">
        <v>2736</v>
      </c>
    </row>
    <row r="2319" spans="6:6" x14ac:dyDescent="0.25">
      <c r="F2319" t="s">
        <v>2737</v>
      </c>
    </row>
    <row r="2320" spans="6:6" x14ac:dyDescent="0.25">
      <c r="F2320" t="s">
        <v>2738</v>
      </c>
    </row>
    <row r="2321" spans="6:6" x14ac:dyDescent="0.25">
      <c r="F2321" t="s">
        <v>2739</v>
      </c>
    </row>
    <row r="2322" spans="6:6" x14ac:dyDescent="0.25">
      <c r="F2322" t="s">
        <v>2740</v>
      </c>
    </row>
    <row r="2323" spans="6:6" x14ac:dyDescent="0.25">
      <c r="F2323" t="s">
        <v>2741</v>
      </c>
    </row>
    <row r="2324" spans="6:6" x14ac:dyDescent="0.25">
      <c r="F2324" t="s">
        <v>2742</v>
      </c>
    </row>
    <row r="2325" spans="6:6" x14ac:dyDescent="0.25">
      <c r="F2325" t="s">
        <v>2743</v>
      </c>
    </row>
    <row r="2326" spans="6:6" x14ac:dyDescent="0.25">
      <c r="F2326" t="s">
        <v>2744</v>
      </c>
    </row>
    <row r="2327" spans="6:6" x14ac:dyDescent="0.25">
      <c r="F2327" t="s">
        <v>2745</v>
      </c>
    </row>
    <row r="2328" spans="6:6" x14ac:dyDescent="0.25">
      <c r="F2328" t="s">
        <v>2746</v>
      </c>
    </row>
    <row r="2329" spans="6:6" x14ac:dyDescent="0.25">
      <c r="F2329" t="s">
        <v>2747</v>
      </c>
    </row>
    <row r="2330" spans="6:6" x14ac:dyDescent="0.25">
      <c r="F2330" t="s">
        <v>2748</v>
      </c>
    </row>
    <row r="2331" spans="6:6" x14ac:dyDescent="0.25">
      <c r="F2331" t="s">
        <v>2749</v>
      </c>
    </row>
    <row r="2332" spans="6:6" x14ac:dyDescent="0.25">
      <c r="F2332" t="s">
        <v>2750</v>
      </c>
    </row>
    <row r="2333" spans="6:6" x14ac:dyDescent="0.25">
      <c r="F2333" t="s">
        <v>2751</v>
      </c>
    </row>
    <row r="2334" spans="6:6" x14ac:dyDescent="0.25">
      <c r="F2334" t="s">
        <v>2752</v>
      </c>
    </row>
    <row r="2335" spans="6:6" x14ac:dyDescent="0.25">
      <c r="F2335" t="s">
        <v>2753</v>
      </c>
    </row>
    <row r="2336" spans="6:6" x14ac:dyDescent="0.25">
      <c r="F2336" t="s">
        <v>2754</v>
      </c>
    </row>
    <row r="2337" spans="6:6" x14ac:dyDescent="0.25">
      <c r="F2337" t="s">
        <v>2755</v>
      </c>
    </row>
    <row r="2338" spans="6:6" x14ac:dyDescent="0.25">
      <c r="F2338" t="s">
        <v>2756</v>
      </c>
    </row>
    <row r="2339" spans="6:6" x14ac:dyDescent="0.25">
      <c r="F2339" t="s">
        <v>2757</v>
      </c>
    </row>
    <row r="2340" spans="6:6" x14ac:dyDescent="0.25">
      <c r="F2340" t="s">
        <v>2758</v>
      </c>
    </row>
    <row r="2341" spans="6:6" x14ac:dyDescent="0.25">
      <c r="F2341" t="s">
        <v>2759</v>
      </c>
    </row>
    <row r="2342" spans="6:6" x14ac:dyDescent="0.25">
      <c r="F2342" t="s">
        <v>2760</v>
      </c>
    </row>
    <row r="2343" spans="6:6" x14ac:dyDescent="0.25">
      <c r="F2343" t="s">
        <v>2761</v>
      </c>
    </row>
    <row r="2344" spans="6:6" x14ac:dyDescent="0.25">
      <c r="F2344" t="s">
        <v>2762</v>
      </c>
    </row>
    <row r="2345" spans="6:6" x14ac:dyDescent="0.25">
      <c r="F2345" t="s">
        <v>2763</v>
      </c>
    </row>
    <row r="2346" spans="6:6" x14ac:dyDescent="0.25">
      <c r="F2346" t="s">
        <v>2764</v>
      </c>
    </row>
    <row r="2347" spans="6:6" x14ac:dyDescent="0.25">
      <c r="F2347" t="s">
        <v>2765</v>
      </c>
    </row>
    <row r="2348" spans="6:6" x14ac:dyDescent="0.25">
      <c r="F2348" t="s">
        <v>2766</v>
      </c>
    </row>
    <row r="2349" spans="6:6" x14ac:dyDescent="0.25">
      <c r="F2349" t="s">
        <v>102</v>
      </c>
    </row>
    <row r="2350" spans="6:6" x14ac:dyDescent="0.25">
      <c r="F2350" t="s">
        <v>2767</v>
      </c>
    </row>
    <row r="2351" spans="6:6" x14ac:dyDescent="0.25">
      <c r="F2351" t="s">
        <v>2768</v>
      </c>
    </row>
    <row r="2352" spans="6:6" x14ac:dyDescent="0.25">
      <c r="F2352" t="s">
        <v>2769</v>
      </c>
    </row>
    <row r="2353" spans="6:6" x14ac:dyDescent="0.25">
      <c r="F2353" t="s">
        <v>2770</v>
      </c>
    </row>
    <row r="2354" spans="6:6" x14ac:dyDescent="0.25">
      <c r="F2354" t="s">
        <v>2771</v>
      </c>
    </row>
    <row r="2355" spans="6:6" x14ac:dyDescent="0.25">
      <c r="F2355" t="s">
        <v>2772</v>
      </c>
    </row>
    <row r="2356" spans="6:6" x14ac:dyDescent="0.25">
      <c r="F2356" t="s">
        <v>2773</v>
      </c>
    </row>
    <row r="2357" spans="6:6" x14ac:dyDescent="0.25">
      <c r="F2357" t="s">
        <v>2774</v>
      </c>
    </row>
    <row r="2358" spans="6:6" x14ac:dyDescent="0.25">
      <c r="F2358" t="s">
        <v>2775</v>
      </c>
    </row>
    <row r="2359" spans="6:6" x14ac:dyDescent="0.25">
      <c r="F2359" t="s">
        <v>2776</v>
      </c>
    </row>
    <row r="2360" spans="6:6" x14ac:dyDescent="0.25">
      <c r="F2360" t="s">
        <v>2777</v>
      </c>
    </row>
    <row r="2361" spans="6:6" x14ac:dyDescent="0.25">
      <c r="F2361" t="s">
        <v>2778</v>
      </c>
    </row>
    <row r="2362" spans="6:6" x14ac:dyDescent="0.25">
      <c r="F2362" t="s">
        <v>2779</v>
      </c>
    </row>
    <row r="2363" spans="6:6" x14ac:dyDescent="0.25">
      <c r="F2363" t="s">
        <v>2780</v>
      </c>
    </row>
    <row r="2364" spans="6:6" x14ac:dyDescent="0.25">
      <c r="F2364" t="s">
        <v>2781</v>
      </c>
    </row>
    <row r="2365" spans="6:6" x14ac:dyDescent="0.25">
      <c r="F2365" t="s">
        <v>2782</v>
      </c>
    </row>
    <row r="2366" spans="6:6" x14ac:dyDescent="0.25">
      <c r="F2366" t="s">
        <v>2783</v>
      </c>
    </row>
    <row r="2367" spans="6:6" x14ac:dyDescent="0.25">
      <c r="F2367" t="s">
        <v>2784</v>
      </c>
    </row>
    <row r="2368" spans="6:6" x14ac:dyDescent="0.25">
      <c r="F2368" t="s">
        <v>2785</v>
      </c>
    </row>
    <row r="2369" spans="6:6" x14ac:dyDescent="0.25">
      <c r="F2369" t="s">
        <v>67</v>
      </c>
    </row>
    <row r="2370" spans="6:6" x14ac:dyDescent="0.25">
      <c r="F2370" t="s">
        <v>2786</v>
      </c>
    </row>
    <row r="2371" spans="6:6" x14ac:dyDescent="0.25">
      <c r="F2371" t="s">
        <v>2787</v>
      </c>
    </row>
    <row r="2372" spans="6:6" x14ac:dyDescent="0.25">
      <c r="F2372" t="s">
        <v>2788</v>
      </c>
    </row>
    <row r="2373" spans="6:6" x14ac:dyDescent="0.25">
      <c r="F2373" t="s">
        <v>2789</v>
      </c>
    </row>
    <row r="2374" spans="6:6" x14ac:dyDescent="0.25">
      <c r="F2374" t="s">
        <v>2790</v>
      </c>
    </row>
    <row r="2375" spans="6:6" x14ac:dyDescent="0.25">
      <c r="F2375" t="s">
        <v>2791</v>
      </c>
    </row>
    <row r="2376" spans="6:6" x14ac:dyDescent="0.25">
      <c r="F2376" t="s">
        <v>2792</v>
      </c>
    </row>
    <row r="2377" spans="6:6" x14ac:dyDescent="0.25">
      <c r="F2377" t="s">
        <v>2793</v>
      </c>
    </row>
    <row r="2378" spans="6:6" x14ac:dyDescent="0.25">
      <c r="F2378" t="s">
        <v>2794</v>
      </c>
    </row>
    <row r="2379" spans="6:6" x14ac:dyDescent="0.25">
      <c r="F2379" t="s">
        <v>2795</v>
      </c>
    </row>
    <row r="2380" spans="6:6" x14ac:dyDescent="0.25">
      <c r="F2380" t="s">
        <v>2796</v>
      </c>
    </row>
    <row r="2381" spans="6:6" x14ac:dyDescent="0.25">
      <c r="F2381" t="s">
        <v>2797</v>
      </c>
    </row>
    <row r="2382" spans="6:6" x14ac:dyDescent="0.25">
      <c r="F2382" t="s">
        <v>2798</v>
      </c>
    </row>
    <row r="2383" spans="6:6" x14ac:dyDescent="0.25">
      <c r="F2383" t="s">
        <v>2799</v>
      </c>
    </row>
    <row r="2384" spans="6:6" x14ac:dyDescent="0.25">
      <c r="F2384" t="s">
        <v>2800</v>
      </c>
    </row>
    <row r="2385" spans="6:6" x14ac:dyDescent="0.25">
      <c r="F2385" t="s">
        <v>2801</v>
      </c>
    </row>
    <row r="2386" spans="6:6" x14ac:dyDescent="0.25">
      <c r="F2386" t="s">
        <v>2802</v>
      </c>
    </row>
    <row r="2387" spans="6:6" x14ac:dyDescent="0.25">
      <c r="F2387" t="s">
        <v>2803</v>
      </c>
    </row>
    <row r="2388" spans="6:6" x14ac:dyDescent="0.25">
      <c r="F2388" t="s">
        <v>2804</v>
      </c>
    </row>
    <row r="2389" spans="6:6" x14ac:dyDescent="0.25">
      <c r="F2389" t="s">
        <v>2805</v>
      </c>
    </row>
    <row r="2390" spans="6:6" x14ac:dyDescent="0.25">
      <c r="F2390" t="s">
        <v>2806</v>
      </c>
    </row>
    <row r="2391" spans="6:6" x14ac:dyDescent="0.25">
      <c r="F2391" t="s">
        <v>2807</v>
      </c>
    </row>
    <row r="2392" spans="6:6" x14ac:dyDescent="0.25">
      <c r="F2392" t="s">
        <v>2808</v>
      </c>
    </row>
    <row r="2393" spans="6:6" x14ac:dyDescent="0.25">
      <c r="F2393" t="s">
        <v>2809</v>
      </c>
    </row>
    <row r="2394" spans="6:6" x14ac:dyDescent="0.25">
      <c r="F2394" t="s">
        <v>2810</v>
      </c>
    </row>
    <row r="2395" spans="6:6" x14ac:dyDescent="0.25">
      <c r="F2395" t="s">
        <v>2811</v>
      </c>
    </row>
    <row r="2396" spans="6:6" x14ac:dyDescent="0.25">
      <c r="F2396" t="s">
        <v>2812</v>
      </c>
    </row>
    <row r="2397" spans="6:6" x14ac:dyDescent="0.25">
      <c r="F2397" t="s">
        <v>2813</v>
      </c>
    </row>
    <row r="2398" spans="6:6" x14ac:dyDescent="0.25">
      <c r="F2398" t="s">
        <v>2814</v>
      </c>
    </row>
    <row r="2399" spans="6:6" x14ac:dyDescent="0.25">
      <c r="F2399" t="s">
        <v>2815</v>
      </c>
    </row>
    <row r="2400" spans="6:6" x14ac:dyDescent="0.25">
      <c r="F2400" t="s">
        <v>2816</v>
      </c>
    </row>
    <row r="2401" spans="6:6" x14ac:dyDescent="0.25">
      <c r="F2401" t="s">
        <v>2817</v>
      </c>
    </row>
    <row r="2402" spans="6:6" x14ac:dyDescent="0.25">
      <c r="F2402" t="s">
        <v>2818</v>
      </c>
    </row>
    <row r="2403" spans="6:6" x14ac:dyDescent="0.25">
      <c r="F2403" t="s">
        <v>2819</v>
      </c>
    </row>
    <row r="2404" spans="6:6" x14ac:dyDescent="0.25">
      <c r="F2404" t="s">
        <v>2820</v>
      </c>
    </row>
    <row r="2405" spans="6:6" x14ac:dyDescent="0.25">
      <c r="F2405" t="s">
        <v>2821</v>
      </c>
    </row>
    <row r="2406" spans="6:6" x14ac:dyDescent="0.25">
      <c r="F2406" t="s">
        <v>2822</v>
      </c>
    </row>
    <row r="2407" spans="6:6" x14ac:dyDescent="0.25">
      <c r="F2407" t="s">
        <v>2823</v>
      </c>
    </row>
    <row r="2408" spans="6:6" x14ac:dyDescent="0.25">
      <c r="F2408" t="s">
        <v>2824</v>
      </c>
    </row>
    <row r="2409" spans="6:6" x14ac:dyDescent="0.25">
      <c r="F2409" t="s">
        <v>2825</v>
      </c>
    </row>
    <row r="2410" spans="6:6" x14ac:dyDescent="0.25">
      <c r="F2410" t="s">
        <v>2826</v>
      </c>
    </row>
    <row r="2411" spans="6:6" x14ac:dyDescent="0.25">
      <c r="F2411" t="s">
        <v>2827</v>
      </c>
    </row>
    <row r="2412" spans="6:6" x14ac:dyDescent="0.25">
      <c r="F2412" t="s">
        <v>2828</v>
      </c>
    </row>
    <row r="2413" spans="6:6" x14ac:dyDescent="0.25">
      <c r="F2413" t="s">
        <v>2829</v>
      </c>
    </row>
    <row r="2414" spans="6:6" x14ac:dyDescent="0.25">
      <c r="F2414" t="s">
        <v>2830</v>
      </c>
    </row>
    <row r="2415" spans="6:6" x14ac:dyDescent="0.25">
      <c r="F2415" t="s">
        <v>2831</v>
      </c>
    </row>
    <row r="2416" spans="6:6" x14ac:dyDescent="0.25">
      <c r="F2416" t="s">
        <v>2832</v>
      </c>
    </row>
    <row r="2417" spans="6:6" x14ac:dyDescent="0.25">
      <c r="F2417" t="s">
        <v>2833</v>
      </c>
    </row>
    <row r="2418" spans="6:6" x14ac:dyDescent="0.25">
      <c r="F2418" t="s">
        <v>2834</v>
      </c>
    </row>
    <row r="2419" spans="6:6" x14ac:dyDescent="0.25">
      <c r="F2419" t="s">
        <v>2835</v>
      </c>
    </row>
    <row r="2420" spans="6:6" x14ac:dyDescent="0.25">
      <c r="F2420" t="s">
        <v>2836</v>
      </c>
    </row>
    <row r="2421" spans="6:6" x14ac:dyDescent="0.25">
      <c r="F2421" t="s">
        <v>2837</v>
      </c>
    </row>
  </sheetData>
  <phoneticPr fontId="2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64"/>
  <sheetViews>
    <sheetView tabSelected="1" topLeftCell="M1" zoomScale="80" zoomScaleNormal="80" workbookViewId="0">
      <selection activeCell="P3" sqref="P3:P42"/>
    </sheetView>
  </sheetViews>
  <sheetFormatPr defaultColWidth="9" defaultRowHeight="13.2" x14ac:dyDescent="0.25"/>
  <cols>
    <col min="1" max="1" width="18" bestFit="1" customWidth="1"/>
    <col min="2" max="2" width="20.21875" bestFit="1" customWidth="1"/>
    <col min="3" max="3" width="21.33203125" bestFit="1" customWidth="1"/>
    <col min="4" max="4" width="24.109375" bestFit="1" customWidth="1"/>
    <col min="5" max="5" width="14.5546875" bestFit="1" customWidth="1"/>
    <col min="6" max="6" width="19.33203125" bestFit="1" customWidth="1"/>
    <col min="7" max="7" width="19.109375" style="3" bestFit="1" customWidth="1"/>
    <col min="8" max="8" width="11.88671875" bestFit="1" customWidth="1"/>
    <col min="9" max="9" width="23.21875" style="4" bestFit="1" customWidth="1"/>
    <col min="10" max="10" width="21" bestFit="1" customWidth="1"/>
    <col min="13" max="13" width="23.21875" bestFit="1" customWidth="1"/>
    <col min="14" max="14" width="10.77734375" customWidth="1"/>
    <col min="15" max="15" width="7.6640625" customWidth="1"/>
    <col min="16" max="16" width="137.88671875" customWidth="1"/>
  </cols>
  <sheetData>
    <row r="1" spans="1:18" ht="18" customHeight="1" x14ac:dyDescent="0.25">
      <c r="A1" s="11" t="s">
        <v>4104</v>
      </c>
      <c r="B1" s="11" t="s">
        <v>4105</v>
      </c>
      <c r="C1" s="11" t="s">
        <v>4248</v>
      </c>
      <c r="D1" s="11" t="s">
        <v>4253</v>
      </c>
      <c r="E1" s="12" t="s">
        <v>4255</v>
      </c>
      <c r="F1" s="11" t="s">
        <v>4250</v>
      </c>
      <c r="G1" s="10" t="s">
        <v>4256</v>
      </c>
      <c r="H1" s="10" t="s">
        <v>4251</v>
      </c>
      <c r="I1" s="4" t="s">
        <v>4388</v>
      </c>
      <c r="J1" s="4"/>
      <c r="K1" s="2"/>
      <c r="L1" s="2"/>
    </row>
    <row r="2" spans="1:18" ht="18" customHeight="1" x14ac:dyDescent="0.25">
      <c r="A2" s="13" t="s">
        <v>4208</v>
      </c>
      <c r="B2" s="13" t="str">
        <f ca="1">IF(r_choice($M$3:$M$4)="M","Mr","Ms")</f>
        <v>Mr</v>
      </c>
      <c r="C2" s="13" t="str">
        <f ca="1">IF(B2="Mr.",r_fname_m(),r_fname_f())</f>
        <v>Karren</v>
      </c>
      <c r="D2" s="13" t="str">
        <f ca="1">r_lname()</f>
        <v>Godfrey</v>
      </c>
      <c r="E2" s="14">
        <f t="shared" ref="E2:E41" ca="1" si="0">r_date(1975,1,1987,1)</f>
        <v>28328</v>
      </c>
      <c r="F2" s="13" t="str">
        <f t="shared" ref="F2:F41" ca="1" si="1">r_integer(1, 200)&amp;" "&amp;r_lname()&amp;" "&amp;r_choice($M$8:$M$12)</f>
        <v>197 Spicer Lane</v>
      </c>
      <c r="G2" s="15">
        <f t="shared" ref="G2:G41" ca="1" si="2">r_integer(6993000000,6993999999)</f>
        <v>6993472734</v>
      </c>
      <c r="H2" s="15">
        <f ca="1">r_integer(3,8)</f>
        <v>3</v>
      </c>
      <c r="I2" s="15"/>
      <c r="K2" s="16"/>
      <c r="L2" s="2"/>
      <c r="M2" s="11" t="s">
        <v>4252</v>
      </c>
      <c r="P2" s="7" t="s">
        <v>4122</v>
      </c>
    </row>
    <row r="3" spans="1:18" ht="18" customHeight="1" x14ac:dyDescent="0.25">
      <c r="A3" s="13" t="s">
        <v>4209</v>
      </c>
      <c r="B3" s="13" t="str">
        <f t="shared" ref="B3:B41" ca="1" si="3">IF(r_choice($M$3:$M$4)="M","Mr","Ms")</f>
        <v>Ms</v>
      </c>
      <c r="C3" s="13" t="str">
        <f ca="1">IF(B3="Mr.",r_fname_m(),r_fname_f())</f>
        <v>Lisa</v>
      </c>
      <c r="D3" s="13" t="str">
        <f t="shared" ref="D3:D41" ca="1" si="4">r_lname()</f>
        <v>Ramey</v>
      </c>
      <c r="E3" s="14">
        <f t="shared" ca="1" si="0"/>
        <v>28879</v>
      </c>
      <c r="F3" s="13" t="str">
        <f t="shared" ca="1" si="1"/>
        <v>64 Cates Lane</v>
      </c>
      <c r="G3" s="15">
        <f t="shared" ca="1" si="2"/>
        <v>6993374007</v>
      </c>
      <c r="H3" s="15">
        <f t="shared" ref="H3:H41" ca="1" si="5">r_integer(3,8)</f>
        <v>6</v>
      </c>
      <c r="I3" s="13" t="s">
        <v>4208</v>
      </c>
      <c r="K3" s="2"/>
      <c r="L3" s="2"/>
      <c r="M3" s="7" t="s">
        <v>4206</v>
      </c>
      <c r="P3" t="str">
        <f ca="1">insertinto(A2:I2,$M$15:$N$23, "employees")</f>
        <v>insert into employees values ('MYZ001', 'Mr', 'Karren', 'Godfrey', '22-Jul-1977', '197 Spicer Lane', 6993472734, 3, null);</v>
      </c>
    </row>
    <row r="4" spans="1:18" ht="18" customHeight="1" x14ac:dyDescent="0.25">
      <c r="A4" s="13" t="s">
        <v>4210</v>
      </c>
      <c r="B4" s="13" t="str">
        <f t="shared" ca="1" si="3"/>
        <v>Ms</v>
      </c>
      <c r="C4" s="13" t="str">
        <f ca="1">IF(B4="Mr.",r_fname_m(),r_fname_f())</f>
        <v>Ekave</v>
      </c>
      <c r="D4" s="13" t="str">
        <f t="shared" ca="1" si="4"/>
        <v>Good</v>
      </c>
      <c r="E4" s="14">
        <f t="shared" ca="1" si="0"/>
        <v>29003</v>
      </c>
      <c r="F4" s="13" t="str">
        <f t="shared" ca="1" si="1"/>
        <v>187 Norman Square</v>
      </c>
      <c r="G4" s="15">
        <f t="shared" ca="1" si="2"/>
        <v>6993840234</v>
      </c>
      <c r="H4" s="15">
        <f t="shared" ca="1" si="5"/>
        <v>3</v>
      </c>
      <c r="I4" s="13" t="s">
        <v>4208</v>
      </c>
      <c r="K4" s="2"/>
      <c r="L4" s="2"/>
      <c r="M4" s="7" t="s">
        <v>4207</v>
      </c>
      <c r="P4" t="str">
        <f t="shared" ref="P4:P42" ca="1" si="6">insertinto(A3:I3,$M$15:$N$23, "employees")</f>
        <v>insert into employees values ('MYZ002', 'Ms', 'Lisa', 'Ramey', '24-Jan-1979', '64 Cates Lane', 6993374007, 6, 'MYZ001');</v>
      </c>
    </row>
    <row r="5" spans="1:18" x14ac:dyDescent="0.25">
      <c r="A5" s="13" t="s">
        <v>4211</v>
      </c>
      <c r="B5" s="13" t="str">
        <f t="shared" ca="1" si="3"/>
        <v>Ms</v>
      </c>
      <c r="C5" s="13" t="str">
        <f ca="1">IF(B5="Mr.",r_fname_m(),r_fname_f())</f>
        <v>Elwanda</v>
      </c>
      <c r="D5" s="13" t="str">
        <f t="shared" ca="1" si="4"/>
        <v>Parra</v>
      </c>
      <c r="E5" s="14">
        <f t="shared" ca="1" si="0"/>
        <v>30961</v>
      </c>
      <c r="F5" s="13" t="str">
        <f t="shared" ca="1" si="1"/>
        <v>134 Mott Lane</v>
      </c>
      <c r="G5" s="15">
        <f t="shared" ca="1" si="2"/>
        <v>6993879762</v>
      </c>
      <c r="H5" s="15">
        <f t="shared" ca="1" si="5"/>
        <v>7</v>
      </c>
      <c r="I5" s="13" t="s">
        <v>4208</v>
      </c>
      <c r="K5" s="2"/>
      <c r="L5" s="2"/>
      <c r="P5" t="str">
        <f t="shared" ca="1" si="6"/>
        <v>insert into employees values ('MYZ003', 'Ms', 'Ekave', 'Good', '28-May-1979', '187 Norman Square', 6993840234, 3, 'MYZ001');</v>
      </c>
    </row>
    <row r="6" spans="1:18" ht="18" customHeight="1" x14ac:dyDescent="0.25">
      <c r="A6" s="13" t="s">
        <v>4212</v>
      </c>
      <c r="B6" s="13" t="str">
        <f t="shared" ca="1" si="3"/>
        <v>Ms</v>
      </c>
      <c r="C6" s="13" t="str">
        <f ca="1">IF(B6="Mr.",r_fname_m(),r_fname_f())</f>
        <v>Madalene</v>
      </c>
      <c r="D6" s="13" t="str">
        <f t="shared" ca="1" si="4"/>
        <v>Cummins</v>
      </c>
      <c r="E6" s="14">
        <f t="shared" ca="1" si="0"/>
        <v>29744</v>
      </c>
      <c r="F6" s="13" t="str">
        <f t="shared" ca="1" si="1"/>
        <v>105 Moreland Avenue</v>
      </c>
      <c r="G6" s="15">
        <f t="shared" ca="1" si="2"/>
        <v>6993261334</v>
      </c>
      <c r="H6" s="15">
        <f t="shared" ca="1" si="5"/>
        <v>7</v>
      </c>
      <c r="I6" s="13" t="s">
        <v>4208</v>
      </c>
      <c r="K6" s="2"/>
      <c r="L6" s="2"/>
      <c r="M6" s="1"/>
      <c r="N6" s="1"/>
      <c r="P6" t="str">
        <f t="shared" ca="1" si="6"/>
        <v>insert into employees values ('MYZ004', 'Ms', 'Elwanda', 'Parra', '06-Oct-1984', '134 Mott Lane', 6993879762, 7, 'MYZ001');</v>
      </c>
    </row>
    <row r="7" spans="1:18" ht="18" customHeight="1" x14ac:dyDescent="0.25">
      <c r="A7" s="13" t="s">
        <v>4213</v>
      </c>
      <c r="B7" s="13" t="str">
        <f t="shared" ca="1" si="3"/>
        <v>Mr</v>
      </c>
      <c r="C7" s="13" t="str">
        <f ca="1">IF(B7="Mr.",r_fname_m(),r_fname_f())</f>
        <v>Sandra</v>
      </c>
      <c r="D7" s="13" t="str">
        <f t="shared" ca="1" si="4"/>
        <v>Dotson</v>
      </c>
      <c r="E7" s="14">
        <f t="shared" ca="1" si="0"/>
        <v>31402</v>
      </c>
      <c r="F7" s="13" t="str">
        <f t="shared" ca="1" si="1"/>
        <v>66 Madden Square</v>
      </c>
      <c r="G7" s="15">
        <f t="shared" ca="1" si="2"/>
        <v>6993196602</v>
      </c>
      <c r="H7" s="15">
        <f ca="1">r_integer(3,8)</f>
        <v>4</v>
      </c>
      <c r="I7" s="13" t="s">
        <v>4208</v>
      </c>
      <c r="K7" s="2"/>
      <c r="L7" s="2"/>
      <c r="M7" s="11" t="s">
        <v>4250</v>
      </c>
      <c r="N7" s="1"/>
      <c r="P7" t="str">
        <f t="shared" ca="1" si="6"/>
        <v>insert into employees values ('MYZ005', 'Ms', 'Madalene', 'Cummins', '07-Jun-1981', '105 Moreland Avenue', 6993261334, 7, 'MYZ001');</v>
      </c>
    </row>
    <row r="8" spans="1:18" ht="18" customHeight="1" x14ac:dyDescent="0.25">
      <c r="A8" s="13" t="s">
        <v>4214</v>
      </c>
      <c r="B8" s="13" t="str">
        <f t="shared" ca="1" si="3"/>
        <v>Mr</v>
      </c>
      <c r="C8" s="13" t="str">
        <f ca="1">IF(B8="Mr.",r_fname_m(),r_fname_f())</f>
        <v>Pauline</v>
      </c>
      <c r="D8" s="13" t="str">
        <f t="shared" ca="1" si="4"/>
        <v>Landrieu</v>
      </c>
      <c r="E8" s="14">
        <f t="shared" ca="1" si="0"/>
        <v>27577</v>
      </c>
      <c r="F8" s="13" t="str">
        <f t="shared" ca="1" si="1"/>
        <v>121 Marsh Square</v>
      </c>
      <c r="G8" s="15">
        <f t="shared" ca="1" si="2"/>
        <v>6993637230</v>
      </c>
      <c r="H8" s="15">
        <f t="shared" ca="1" si="5"/>
        <v>7</v>
      </c>
      <c r="I8" s="13" t="s">
        <v>4210</v>
      </c>
      <c r="K8" s="2"/>
      <c r="L8" s="2"/>
      <c r="M8" s="7" t="s">
        <v>4124</v>
      </c>
      <c r="N8" s="1"/>
      <c r="O8" s="7"/>
      <c r="P8" t="str">
        <f t="shared" ca="1" si="6"/>
        <v>insert into employees values ('MYZ006', 'Mr', 'Sandra', 'Dotson', '21-Dec-1985', '66 Madden Square', 6993196602, 4, 'MYZ001');</v>
      </c>
    </row>
    <row r="9" spans="1:18" ht="18" customHeight="1" x14ac:dyDescent="0.25">
      <c r="A9" s="13" t="s">
        <v>4215</v>
      </c>
      <c r="B9" s="13" t="str">
        <f t="shared" ca="1" si="3"/>
        <v>Mr</v>
      </c>
      <c r="C9" s="13" t="str">
        <f ca="1">IF(B9="Mr.",r_fname_m(),r_fname_f())</f>
        <v>Eleonor</v>
      </c>
      <c r="D9" s="13" t="str">
        <f ca="1">r_lname()</f>
        <v>Presley</v>
      </c>
      <c r="E9" s="14">
        <f t="shared" ca="1" si="0"/>
        <v>28049</v>
      </c>
      <c r="F9" s="13" t="str">
        <f t="shared" ca="1" si="1"/>
        <v>193 Costello Street</v>
      </c>
      <c r="G9" s="15">
        <f t="shared" ca="1" si="2"/>
        <v>6993660280</v>
      </c>
      <c r="H9" s="15">
        <f t="shared" ca="1" si="5"/>
        <v>4</v>
      </c>
      <c r="I9" s="13" t="s">
        <v>4210</v>
      </c>
      <c r="K9" s="2"/>
      <c r="L9" s="2"/>
      <c r="M9" s="7" t="s">
        <v>2561</v>
      </c>
      <c r="N9" s="1"/>
      <c r="O9" s="7"/>
      <c r="P9" t="str">
        <f t="shared" ca="1" si="6"/>
        <v>insert into employees values ('MYZ007', 'Mr', 'Pauline', 'Landrieu', '02-Jul-1975', '121 Marsh Square', 6993637230, 7, 'MYZ003');</v>
      </c>
    </row>
    <row r="10" spans="1:18" ht="18" customHeight="1" x14ac:dyDescent="0.25">
      <c r="A10" s="13" t="s">
        <v>4216</v>
      </c>
      <c r="B10" s="13" t="str">
        <f t="shared" ca="1" si="3"/>
        <v>Ms</v>
      </c>
      <c r="C10" s="13" t="str">
        <f ca="1">IF(B10="Mr.",r_fname_m(),r_fname_f())</f>
        <v>Camelia</v>
      </c>
      <c r="D10" s="13" t="str">
        <f t="shared" ca="1" si="4"/>
        <v>Strickland</v>
      </c>
      <c r="E10" s="14">
        <f t="shared" ca="1" si="0"/>
        <v>31193</v>
      </c>
      <c r="F10" s="13" t="str">
        <f t="shared" ca="1" si="1"/>
        <v>192 Bennet Lane</v>
      </c>
      <c r="G10" s="15">
        <f t="shared" ca="1" si="2"/>
        <v>6993032875</v>
      </c>
      <c r="H10" s="15">
        <f t="shared" ca="1" si="5"/>
        <v>4</v>
      </c>
      <c r="I10" s="13" t="s">
        <v>4212</v>
      </c>
      <c r="K10" s="2"/>
      <c r="L10" s="2"/>
      <c r="M10" s="7" t="s">
        <v>467</v>
      </c>
      <c r="O10" s="7"/>
      <c r="P10" t="str">
        <f t="shared" ca="1" si="6"/>
        <v>insert into employees values ('MYZ008', 'Mr', 'Eleonor', 'Presley', '16-Oct-1976', '193 Costello Street', 6993660280, 4, 'MYZ003');</v>
      </c>
    </row>
    <row r="11" spans="1:18" ht="18" customHeight="1" x14ac:dyDescent="0.25">
      <c r="A11" s="13" t="s">
        <v>4217</v>
      </c>
      <c r="B11" s="13" t="str">
        <f t="shared" ca="1" si="3"/>
        <v>Ms</v>
      </c>
      <c r="C11" s="13" t="str">
        <f ca="1">IF(B11="Mr.",r_fname_m(),r_fname_f())</f>
        <v>Harriet</v>
      </c>
      <c r="D11" s="13" t="str">
        <f t="shared" ca="1" si="4"/>
        <v>Temple</v>
      </c>
      <c r="E11" s="14">
        <f t="shared" ca="1" si="0"/>
        <v>29531</v>
      </c>
      <c r="F11" s="13" t="str">
        <f t="shared" ca="1" si="1"/>
        <v>41 Craft Street</v>
      </c>
      <c r="G11" s="15">
        <f t="shared" ca="1" si="2"/>
        <v>6993232475</v>
      </c>
      <c r="H11" s="15">
        <f t="shared" ca="1" si="5"/>
        <v>7</v>
      </c>
      <c r="I11" s="13" t="s">
        <v>4212</v>
      </c>
      <c r="K11" s="2"/>
      <c r="L11" s="2"/>
      <c r="M11" s="7" t="s">
        <v>1364</v>
      </c>
      <c r="O11" s="7"/>
      <c r="P11" t="str">
        <f t="shared" ca="1" si="6"/>
        <v>insert into employees values ('MYZ009', 'Ms', 'Camelia', 'Strickland', '26-May-1985', '192 Bennet Lane', 6993032875, 4, 'MYZ005');</v>
      </c>
    </row>
    <row r="12" spans="1:18" ht="18" customHeight="1" x14ac:dyDescent="0.25">
      <c r="A12" s="13" t="s">
        <v>4218</v>
      </c>
      <c r="B12" s="13" t="str">
        <f t="shared" ca="1" si="3"/>
        <v>Ms</v>
      </c>
      <c r="C12" s="13" t="str">
        <f ca="1">IF(B12="Mr.",r_fname_m(),r_fname_f())</f>
        <v>Lavinia</v>
      </c>
      <c r="D12" s="13" t="str">
        <f t="shared" ca="1" si="4"/>
        <v>Rubic</v>
      </c>
      <c r="E12" s="14">
        <f t="shared" ca="1" si="0"/>
        <v>29308</v>
      </c>
      <c r="F12" s="13" t="str">
        <f t="shared" ca="1" si="1"/>
        <v>7 Stratton Street</v>
      </c>
      <c r="G12" s="15">
        <f t="shared" ca="1" si="2"/>
        <v>6993524351</v>
      </c>
      <c r="H12" s="15">
        <f t="shared" ca="1" si="5"/>
        <v>8</v>
      </c>
      <c r="I12" s="13" t="s">
        <v>4212</v>
      </c>
      <c r="K12" s="2"/>
      <c r="L12" s="2"/>
      <c r="M12" s="7" t="s">
        <v>4125</v>
      </c>
      <c r="O12" s="7"/>
      <c r="P12" t="str">
        <f t="shared" ca="1" si="6"/>
        <v>insert into employees values ('MYZ010', 'Ms', 'Harriet', 'Temple', '06-Nov-1980', '41 Craft Street', 6993232475, 7, 'MYZ005');</v>
      </c>
    </row>
    <row r="13" spans="1:18" ht="18" customHeight="1" x14ac:dyDescent="0.25">
      <c r="A13" s="13" t="s">
        <v>4219</v>
      </c>
      <c r="B13" s="13" t="str">
        <f t="shared" ca="1" si="3"/>
        <v>Mr</v>
      </c>
      <c r="C13" s="13" t="str">
        <f ca="1">IF(B13="Mr.",r_fname_m(),r_fname_f())</f>
        <v>Penny</v>
      </c>
      <c r="D13" s="13" t="str">
        <f t="shared" ca="1" si="4"/>
        <v>Donaldson</v>
      </c>
      <c r="E13" s="14">
        <f t="shared" ca="1" si="0"/>
        <v>28176</v>
      </c>
      <c r="F13" s="13" t="str">
        <f t="shared" ca="1" si="1"/>
        <v>166 Ames Street</v>
      </c>
      <c r="G13" s="15">
        <f t="shared" ca="1" si="2"/>
        <v>6993923725</v>
      </c>
      <c r="H13" s="15">
        <f t="shared" ca="1" si="5"/>
        <v>3</v>
      </c>
      <c r="I13" s="13" t="s">
        <v>4212</v>
      </c>
      <c r="K13" s="2"/>
      <c r="L13" s="2"/>
      <c r="P13" t="str">
        <f t="shared" ca="1" si="6"/>
        <v>insert into employees values ('MYZ011', 'Ms', 'Lavinia', 'Rubic', '28-Mar-1980', '7 Stratton Street', 6993524351, 8, 'MYZ005');</v>
      </c>
    </row>
    <row r="14" spans="1:18" ht="18" customHeight="1" x14ac:dyDescent="0.25">
      <c r="A14" s="13" t="s">
        <v>4220</v>
      </c>
      <c r="B14" s="13" t="str">
        <f t="shared" ca="1" si="3"/>
        <v>Ms</v>
      </c>
      <c r="C14" s="13" t="str">
        <f ca="1">IF(B14="Mr.",r_fname_m(),r_fname_f())</f>
        <v>Karma</v>
      </c>
      <c r="D14" s="13" t="str">
        <f t="shared" ca="1" si="4"/>
        <v>Metz</v>
      </c>
      <c r="E14" s="14">
        <f t="shared" ca="1" si="0"/>
        <v>28179</v>
      </c>
      <c r="F14" s="13" t="str">
        <f t="shared" ca="1" si="1"/>
        <v>96 Wolff Park</v>
      </c>
      <c r="G14" s="15">
        <f t="shared" ca="1" si="2"/>
        <v>6993707590</v>
      </c>
      <c r="H14" s="15">
        <f t="shared" ca="1" si="5"/>
        <v>4</v>
      </c>
      <c r="I14" s="13" t="s">
        <v>4212</v>
      </c>
      <c r="K14" s="2"/>
      <c r="L14" s="2"/>
      <c r="P14" t="str">
        <f t="shared" ca="1" si="6"/>
        <v>insert into employees values ('MYZ012', 'Mr', 'Penny', 'Donaldson', '20-Feb-1977', '166 Ames Street', 6993923725, 3, 'MYZ005');</v>
      </c>
    </row>
    <row r="15" spans="1:18" ht="18" customHeight="1" x14ac:dyDescent="0.25">
      <c r="A15" s="13" t="s">
        <v>4221</v>
      </c>
      <c r="B15" s="13" t="str">
        <f t="shared" ca="1" si="3"/>
        <v>Mr</v>
      </c>
      <c r="C15" s="13" t="str">
        <f ca="1">IF(B15="Mr.",r_fname_m(),r_fname_f())</f>
        <v>Leora</v>
      </c>
      <c r="D15" s="13" t="str">
        <f t="shared" ca="1" si="4"/>
        <v>Newell</v>
      </c>
      <c r="E15" s="14">
        <f t="shared" ca="1" si="0"/>
        <v>31032</v>
      </c>
      <c r="F15" s="13" t="str">
        <f t="shared" ca="1" si="1"/>
        <v>134 Trent Street</v>
      </c>
      <c r="G15" s="15">
        <f t="shared" ca="1" si="2"/>
        <v>6993098582</v>
      </c>
      <c r="H15" s="15">
        <f t="shared" ca="1" si="5"/>
        <v>3</v>
      </c>
      <c r="I15" s="13" t="s">
        <v>4212</v>
      </c>
      <c r="K15" s="2"/>
      <c r="L15" s="2"/>
      <c r="M15" s="11" t="s">
        <v>4104</v>
      </c>
      <c r="N15" s="7" t="s">
        <v>4119</v>
      </c>
      <c r="O15" s="11"/>
      <c r="P15" t="str">
        <f t="shared" ca="1" si="6"/>
        <v>insert into employees values ('MYZ013', 'Ms', 'Karma', 'Metz', '23-Feb-1977', '96 Wolff Park', 6993707590, 4, 'MYZ005');</v>
      </c>
      <c r="R15">
        <f>insertinto(A14:H14,$M$14:$N$22, "employees")</f>
        <v>2023</v>
      </c>
    </row>
    <row r="16" spans="1:18" ht="18" customHeight="1" x14ac:dyDescent="0.25">
      <c r="A16" s="13" t="s">
        <v>4222</v>
      </c>
      <c r="B16" s="13" t="str">
        <f t="shared" ca="1" si="3"/>
        <v>Ms</v>
      </c>
      <c r="C16" s="13" t="str">
        <f ca="1">IF(B16="Mr.",r_fname_m(),r_fname_f())</f>
        <v>Jeane</v>
      </c>
      <c r="D16" s="13" t="str">
        <f ca="1">r_lname()</f>
        <v>Penn</v>
      </c>
      <c r="E16" s="14">
        <f t="shared" ca="1" si="0"/>
        <v>29765</v>
      </c>
      <c r="F16" s="13" t="str">
        <f t="shared" ca="1" si="1"/>
        <v>190 Lockheed Park</v>
      </c>
      <c r="G16" s="15">
        <f t="shared" ca="1" si="2"/>
        <v>6993577847</v>
      </c>
      <c r="H16" s="15">
        <f t="shared" ca="1" si="5"/>
        <v>4</v>
      </c>
      <c r="I16" s="13" t="s">
        <v>4212</v>
      </c>
      <c r="K16" s="2"/>
      <c r="L16" s="2"/>
      <c r="M16" s="11" t="s">
        <v>4105</v>
      </c>
      <c r="N16" s="7" t="s">
        <v>4119</v>
      </c>
      <c r="P16" t="str">
        <f t="shared" ca="1" si="6"/>
        <v>insert into employees values ('MYZ014', 'Mr', 'Leora', 'Newell', '16-Dec-1984', '134 Trent Street', 6993098582, 3, 'MYZ005');</v>
      </c>
    </row>
    <row r="17" spans="1:16" ht="18" customHeight="1" x14ac:dyDescent="0.25">
      <c r="A17" s="13" t="s">
        <v>4223</v>
      </c>
      <c r="B17" s="13" t="str">
        <f t="shared" ca="1" si="3"/>
        <v>Mr</v>
      </c>
      <c r="C17" s="13" t="str">
        <f ca="1">IF(B17="Mr.",r_fname_m(),r_fname_f())</f>
        <v>Angele</v>
      </c>
      <c r="D17" s="13" t="str">
        <f t="shared" ca="1" si="4"/>
        <v>Sims</v>
      </c>
      <c r="E17" s="14">
        <f t="shared" ca="1" si="0"/>
        <v>30799</v>
      </c>
      <c r="F17" s="13" t="str">
        <f t="shared" ca="1" si="1"/>
        <v>141 Crocket Park</v>
      </c>
      <c r="G17" s="15">
        <f t="shared" ca="1" si="2"/>
        <v>6993114679</v>
      </c>
      <c r="H17" s="15">
        <f t="shared" ca="1" si="5"/>
        <v>5</v>
      </c>
      <c r="I17" s="13" t="s">
        <v>4212</v>
      </c>
      <c r="K17" s="2"/>
      <c r="L17" s="2"/>
      <c r="M17" s="11" t="s">
        <v>4248</v>
      </c>
      <c r="N17" s="7" t="s">
        <v>4119</v>
      </c>
      <c r="P17" t="str">
        <f t="shared" ca="1" si="6"/>
        <v>insert into employees values ('MYZ015', 'Ms', 'Jeane', 'Penn', '28-Jun-1981', '190 Lockheed Park', 6993577847, 4, 'MYZ005');</v>
      </c>
    </row>
    <row r="18" spans="1:16" ht="18" customHeight="1" x14ac:dyDescent="0.25">
      <c r="A18" s="13" t="s">
        <v>4224</v>
      </c>
      <c r="B18" s="13" t="str">
        <f t="shared" ca="1" si="3"/>
        <v>Ms</v>
      </c>
      <c r="C18" s="13" t="str">
        <f ca="1">IF(B18="Mr.",r_fname_m(),r_fname_f())</f>
        <v>Lili</v>
      </c>
      <c r="D18" s="13" t="str">
        <f t="shared" ca="1" si="4"/>
        <v>Rodrigues</v>
      </c>
      <c r="E18" s="14">
        <f t="shared" ca="1" si="0"/>
        <v>31647</v>
      </c>
      <c r="F18" s="13" t="str">
        <f t="shared" ca="1" si="1"/>
        <v>52 Milligan Street</v>
      </c>
      <c r="G18" s="15">
        <f t="shared" ca="1" si="2"/>
        <v>6993782793</v>
      </c>
      <c r="H18" s="15">
        <f t="shared" ca="1" si="5"/>
        <v>4</v>
      </c>
      <c r="I18" s="13" t="s">
        <v>4212</v>
      </c>
      <c r="K18" s="2"/>
      <c r="L18" s="2"/>
      <c r="M18" s="11" t="s">
        <v>4254</v>
      </c>
      <c r="N18" s="7" t="s">
        <v>4119</v>
      </c>
      <c r="P18" t="str">
        <f t="shared" ca="1" si="6"/>
        <v>insert into employees values ('MYZ016', 'Mr', 'Angele', 'Sims', '27-Apr-1984', '141 Crocket Park', 6993114679, 5, 'MYZ005');</v>
      </c>
    </row>
    <row r="19" spans="1:16" ht="18" customHeight="1" x14ac:dyDescent="0.25">
      <c r="A19" s="13" t="s">
        <v>4225</v>
      </c>
      <c r="B19" s="13" t="str">
        <f t="shared" ca="1" si="3"/>
        <v>Mr</v>
      </c>
      <c r="C19" s="13" t="str">
        <f ca="1">IF(B19="Mr.",r_fname_m(),r_fname_f())</f>
        <v>Nelida</v>
      </c>
      <c r="D19" s="13" t="str">
        <f t="shared" ca="1" si="4"/>
        <v>Steward</v>
      </c>
      <c r="E19" s="14">
        <f t="shared" ca="1" si="0"/>
        <v>30074</v>
      </c>
      <c r="F19" s="13" t="str">
        <f t="shared" ca="1" si="1"/>
        <v>180 Rosenthal Lane</v>
      </c>
      <c r="G19" s="15">
        <f t="shared" ca="1" si="2"/>
        <v>6993559547</v>
      </c>
      <c r="H19" s="15">
        <f t="shared" ca="1" si="5"/>
        <v>5</v>
      </c>
      <c r="I19" s="13" t="s">
        <v>4212</v>
      </c>
      <c r="K19" s="2"/>
      <c r="L19" s="2"/>
      <c r="M19" s="11" t="s">
        <v>4255</v>
      </c>
      <c r="N19" s="7" t="s">
        <v>4120</v>
      </c>
      <c r="P19" t="str">
        <f t="shared" ca="1" si="6"/>
        <v>insert into employees values ('MYZ017', 'Ms', 'Lili', 'Rodrigues', '23-Aug-1986', '52 Milligan Street', 6993782793, 4, 'MYZ005');</v>
      </c>
    </row>
    <row r="20" spans="1:16" ht="18" customHeight="1" x14ac:dyDescent="0.25">
      <c r="A20" s="13" t="s">
        <v>4226</v>
      </c>
      <c r="B20" s="13" t="str">
        <f t="shared" ca="1" si="3"/>
        <v>Ms</v>
      </c>
      <c r="C20" s="13" t="str">
        <f ca="1">IF(B20="Mr.",r_fname_m(),r_fname_f())</f>
        <v>Laurinda</v>
      </c>
      <c r="D20" s="13" t="str">
        <f t="shared" ca="1" si="4"/>
        <v>Campos</v>
      </c>
      <c r="E20" s="14">
        <f t="shared" ca="1" si="0"/>
        <v>29831</v>
      </c>
      <c r="F20" s="13" t="str">
        <f t="shared" ca="1" si="1"/>
        <v>55 Watts Park</v>
      </c>
      <c r="G20" s="15">
        <f t="shared" ca="1" si="2"/>
        <v>6993975395</v>
      </c>
      <c r="H20" s="15">
        <f t="shared" ca="1" si="5"/>
        <v>5</v>
      </c>
      <c r="I20" s="13" t="s">
        <v>4212</v>
      </c>
      <c r="K20" s="2"/>
      <c r="L20" s="2"/>
      <c r="M20" s="11" t="s">
        <v>4250</v>
      </c>
      <c r="N20" s="7" t="s">
        <v>4119</v>
      </c>
      <c r="P20" t="str">
        <f t="shared" ca="1" si="6"/>
        <v>insert into employees values ('MYZ018', 'Mr', 'Nelida', 'Steward', '03-May-1982', '180 Rosenthal Lane', 6993559547, 5, 'MYZ005');</v>
      </c>
    </row>
    <row r="21" spans="1:16" ht="18" customHeight="1" x14ac:dyDescent="0.25">
      <c r="A21" s="13" t="s">
        <v>4227</v>
      </c>
      <c r="B21" s="13" t="str">
        <f t="shared" ca="1" si="3"/>
        <v>Mr</v>
      </c>
      <c r="C21" s="13" t="str">
        <f ca="1">IF(B21="Mr.",r_fname_m(),r_fname_f())</f>
        <v>Golden</v>
      </c>
      <c r="D21" s="13" t="str">
        <f t="shared" ca="1" si="4"/>
        <v>Schaefer</v>
      </c>
      <c r="E21" s="14">
        <f t="shared" ca="1" si="0"/>
        <v>27534</v>
      </c>
      <c r="F21" s="13" t="str">
        <f t="shared" ca="1" si="1"/>
        <v>187 Messer Park</v>
      </c>
      <c r="G21" s="15">
        <f t="shared" ca="1" si="2"/>
        <v>6993647670</v>
      </c>
      <c r="H21" s="15">
        <f t="shared" ca="1" si="5"/>
        <v>4</v>
      </c>
      <c r="I21" s="13" t="s">
        <v>4214</v>
      </c>
      <c r="K21" s="2"/>
      <c r="L21" s="2"/>
      <c r="M21" s="12" t="s">
        <v>4256</v>
      </c>
      <c r="N21" s="7" t="s">
        <v>4121</v>
      </c>
      <c r="P21" t="str">
        <f t="shared" ca="1" si="6"/>
        <v>insert into employees values ('MYZ019', 'Ms', 'Laurinda', 'Campos', '02-Sep-1981', '55 Watts Park', 6993975395, 5, 'MYZ005');</v>
      </c>
    </row>
    <row r="22" spans="1:16" ht="18" customHeight="1" x14ac:dyDescent="0.25">
      <c r="A22" s="13" t="s">
        <v>4228</v>
      </c>
      <c r="B22" s="13" t="str">
        <f t="shared" ca="1" si="3"/>
        <v>Mr</v>
      </c>
      <c r="C22" s="13" t="str">
        <f ca="1">IF(B22="Mr.",r_fname_m(),r_fname_f())</f>
        <v>Tori</v>
      </c>
      <c r="D22" s="13" t="str">
        <f t="shared" ca="1" si="4"/>
        <v>Roth</v>
      </c>
      <c r="E22" s="14">
        <f t="shared" ca="1" si="0"/>
        <v>27914</v>
      </c>
      <c r="F22" s="13" t="str">
        <f t="shared" ca="1" si="1"/>
        <v>62 Sinclair Park</v>
      </c>
      <c r="G22" s="15">
        <f t="shared" ca="1" si="2"/>
        <v>6993578607</v>
      </c>
      <c r="H22" s="15">
        <f t="shared" ca="1" si="5"/>
        <v>6</v>
      </c>
      <c r="I22" s="13" t="s">
        <v>4214</v>
      </c>
      <c r="K22" s="2"/>
      <c r="L22" s="2"/>
      <c r="M22" s="10" t="s">
        <v>4251</v>
      </c>
      <c r="N22" s="7" t="s">
        <v>4121</v>
      </c>
      <c r="P22" t="str">
        <f t="shared" ca="1" si="6"/>
        <v>insert into employees values ('MYZ020', 'Mr', 'Golden', 'Schaefer', '20-May-1975', '187 Messer Park', 6993647670, 4, 'MYZ007');</v>
      </c>
    </row>
    <row r="23" spans="1:16" ht="18" customHeight="1" x14ac:dyDescent="0.25">
      <c r="A23" s="13" t="s">
        <v>4229</v>
      </c>
      <c r="B23" s="13" t="str">
        <f t="shared" ca="1" si="3"/>
        <v>Mr</v>
      </c>
      <c r="C23" s="13" t="str">
        <f ca="1">IF(B23="Mr.",r_fname_m(),r_fname_f())</f>
        <v>Kiyoko</v>
      </c>
      <c r="D23" s="13" t="str">
        <f t="shared" ca="1" si="4"/>
        <v>Spicer</v>
      </c>
      <c r="E23" s="14">
        <f t="shared" ca="1" si="0"/>
        <v>31124</v>
      </c>
      <c r="F23" s="13" t="str">
        <f t="shared" ca="1" si="1"/>
        <v>192 Richard Lane</v>
      </c>
      <c r="G23" s="15">
        <f t="shared" ca="1" si="2"/>
        <v>6993261256</v>
      </c>
      <c r="H23" s="15">
        <f t="shared" ca="1" si="5"/>
        <v>4</v>
      </c>
      <c r="I23" s="13" t="s">
        <v>4214</v>
      </c>
      <c r="K23" s="2"/>
      <c r="L23" s="2"/>
      <c r="M23" s="11" t="s">
        <v>4388</v>
      </c>
      <c r="N23" s="7" t="s">
        <v>4119</v>
      </c>
      <c r="P23" t="str">
        <f t="shared" ca="1" si="6"/>
        <v>insert into employees values ('MYZ021', 'Mr', 'Tori', 'Roth', '03-Jun-1976', '62 Sinclair Park', 6993578607, 6, 'MYZ007');</v>
      </c>
    </row>
    <row r="24" spans="1:16" ht="18" customHeight="1" x14ac:dyDescent="0.25">
      <c r="A24" s="13" t="s">
        <v>4230</v>
      </c>
      <c r="B24" s="13" t="str">
        <f t="shared" ca="1" si="3"/>
        <v>Ms</v>
      </c>
      <c r="C24" s="13" t="str">
        <f ca="1">IF(B24="Mr.",r_fname_m(),r_fname_f())</f>
        <v>Daniela</v>
      </c>
      <c r="D24" s="13" t="str">
        <f t="shared" ca="1" si="4"/>
        <v>Meyer</v>
      </c>
      <c r="E24" s="14">
        <f t="shared" ca="1" si="0"/>
        <v>30527</v>
      </c>
      <c r="F24" s="13" t="str">
        <f t="shared" ca="1" si="1"/>
        <v>121 Gallagher Avenue</v>
      </c>
      <c r="G24" s="15">
        <f t="shared" ca="1" si="2"/>
        <v>6993504529</v>
      </c>
      <c r="H24" s="15">
        <f t="shared" ca="1" si="5"/>
        <v>3</v>
      </c>
      <c r="I24" s="13" t="s">
        <v>4214</v>
      </c>
      <c r="K24" s="2"/>
      <c r="L24" s="2"/>
      <c r="P24" t="str">
        <f t="shared" ca="1" si="6"/>
        <v>insert into employees values ('MYZ022', 'Mr', 'Kiyoko', 'Spicer', '18-Mar-1985', '192 Richard Lane', 6993261256, 4, 'MYZ007');</v>
      </c>
    </row>
    <row r="25" spans="1:16" ht="18" customHeight="1" x14ac:dyDescent="0.25">
      <c r="A25" s="13" t="s">
        <v>4231</v>
      </c>
      <c r="B25" s="13" t="str">
        <f t="shared" ca="1" si="3"/>
        <v>Ms</v>
      </c>
      <c r="C25" s="13" t="str">
        <f ca="1">IF(B25="Mr.",r_fname_m(),r_fname_f())</f>
        <v>Karyl</v>
      </c>
      <c r="D25" s="13" t="str">
        <f t="shared" ca="1" si="4"/>
        <v>Ball</v>
      </c>
      <c r="E25" s="14">
        <f t="shared" ca="1" si="0"/>
        <v>31266</v>
      </c>
      <c r="F25" s="13" t="str">
        <f t="shared" ca="1" si="1"/>
        <v>9 Calhoun Avenue</v>
      </c>
      <c r="G25" s="15">
        <f t="shared" ca="1" si="2"/>
        <v>6993491877</v>
      </c>
      <c r="H25" s="15">
        <f t="shared" ca="1" si="5"/>
        <v>3</v>
      </c>
      <c r="I25" s="13" t="s">
        <v>4225</v>
      </c>
      <c r="K25" s="2"/>
      <c r="L25" s="2"/>
      <c r="O25" s="1"/>
      <c r="P25" t="str">
        <f t="shared" ca="1" si="6"/>
        <v>insert into employees values ('MYZ023', 'Ms', 'Daniela', 'Meyer', '30-Jul-1983', '121 Gallagher Avenue', 6993504529, 3, 'MYZ007');</v>
      </c>
    </row>
    <row r="26" spans="1:16" ht="18" customHeight="1" x14ac:dyDescent="0.25">
      <c r="A26" s="13" t="s">
        <v>4232</v>
      </c>
      <c r="B26" s="13" t="str">
        <f t="shared" ca="1" si="3"/>
        <v>Mr</v>
      </c>
      <c r="C26" s="13" t="str">
        <f ca="1">IF(B26="Mr.",r_fname_m(),r_fname_f())</f>
        <v>Matha</v>
      </c>
      <c r="D26" s="13" t="str">
        <f t="shared" ca="1" si="4"/>
        <v>Beeson</v>
      </c>
      <c r="E26" s="14">
        <f t="shared" ca="1" si="0"/>
        <v>30002</v>
      </c>
      <c r="F26" s="13" t="str">
        <f t="shared" ca="1" si="1"/>
        <v>17 Cross Lane</v>
      </c>
      <c r="G26" s="15">
        <f t="shared" ca="1" si="2"/>
        <v>6993811680</v>
      </c>
      <c r="H26" s="15">
        <f t="shared" ca="1" si="5"/>
        <v>7</v>
      </c>
      <c r="I26" s="13" t="s">
        <v>4225</v>
      </c>
      <c r="K26" s="2"/>
      <c r="L26" s="2"/>
      <c r="P26" t="str">
        <f t="shared" ca="1" si="6"/>
        <v>insert into employees values ('MYZ024', 'Ms', 'Karyl', 'Ball', '07-Aug-1985', '9 Calhoun Avenue', 6993491877, 3, 'MYZ018');</v>
      </c>
    </row>
    <row r="27" spans="1:16" ht="18" customHeight="1" x14ac:dyDescent="0.25">
      <c r="A27" s="13" t="s">
        <v>4233</v>
      </c>
      <c r="B27" s="13" t="str">
        <f t="shared" ca="1" si="3"/>
        <v>Ms</v>
      </c>
      <c r="C27" s="13" t="str">
        <f ca="1">IF(B27="Mr.",r_fname_m(),r_fname_f())</f>
        <v>Yaeko</v>
      </c>
      <c r="D27" s="13" t="str">
        <f t="shared" ca="1" si="4"/>
        <v>Buckley</v>
      </c>
      <c r="E27" s="14">
        <f t="shared" ca="1" si="0"/>
        <v>28059</v>
      </c>
      <c r="F27" s="13" t="str">
        <f t="shared" ca="1" si="1"/>
        <v>45 Queen Park</v>
      </c>
      <c r="G27" s="15">
        <f t="shared" ca="1" si="2"/>
        <v>6993999493</v>
      </c>
      <c r="H27" s="15">
        <f t="shared" ca="1" si="5"/>
        <v>7</v>
      </c>
      <c r="I27" s="13" t="s">
        <v>4225</v>
      </c>
      <c r="K27" s="2"/>
      <c r="L27" s="2"/>
      <c r="P27" t="str">
        <f t="shared" ca="1" si="6"/>
        <v>insert into employees values ('MYZ025', 'Mr', 'Matha', 'Beeson', '20-Feb-1982', '17 Cross Lane', 6993811680, 7, 'MYZ018');</v>
      </c>
    </row>
    <row r="28" spans="1:16" ht="18" customHeight="1" x14ac:dyDescent="0.25">
      <c r="A28" s="13" t="s">
        <v>4234</v>
      </c>
      <c r="B28" s="13" t="str">
        <f t="shared" ca="1" si="3"/>
        <v>Ms</v>
      </c>
      <c r="C28" s="13" t="str">
        <f ca="1">IF(B28="Mr.",r_fname_m(),r_fname_f())</f>
        <v>Constance</v>
      </c>
      <c r="D28" s="13" t="str">
        <f t="shared" ca="1" si="4"/>
        <v>Versace</v>
      </c>
      <c r="E28" s="14">
        <f t="shared" ca="1" si="0"/>
        <v>31504</v>
      </c>
      <c r="F28" s="13" t="str">
        <f t="shared" ca="1" si="1"/>
        <v>143 Land Square</v>
      </c>
      <c r="G28" s="15">
        <f t="shared" ca="1" si="2"/>
        <v>6993504732</v>
      </c>
      <c r="H28" s="15">
        <f t="shared" ca="1" si="5"/>
        <v>4</v>
      </c>
      <c r="I28" s="13" t="s">
        <v>4225</v>
      </c>
      <c r="K28" s="2"/>
      <c r="L28" s="2"/>
      <c r="P28" t="str">
        <f t="shared" ca="1" si="6"/>
        <v>insert into employees values ('MYZ026', 'Ms', 'Yaeko', 'Buckley', '26-Oct-1976', '45 Queen Park', 6993999493, 7, 'MYZ018');</v>
      </c>
    </row>
    <row r="29" spans="1:16" ht="18" customHeight="1" x14ac:dyDescent="0.25">
      <c r="A29" s="13" t="s">
        <v>4235</v>
      </c>
      <c r="B29" s="13" t="str">
        <f t="shared" ca="1" si="3"/>
        <v>Ms</v>
      </c>
      <c r="C29" s="13" t="str">
        <f ca="1">IF(B29="Mr.",r_fname_m(),r_fname_f())</f>
        <v>Philippa</v>
      </c>
      <c r="D29" s="13" t="str">
        <f t="shared" ca="1" si="4"/>
        <v>Hollingsworth</v>
      </c>
      <c r="E29" s="14">
        <f t="shared" ca="1" si="0"/>
        <v>28232</v>
      </c>
      <c r="F29" s="13" t="str">
        <f t="shared" ca="1" si="1"/>
        <v>55 Kingsley Avenue</v>
      </c>
      <c r="G29" s="15">
        <f t="shared" ca="1" si="2"/>
        <v>6993548986</v>
      </c>
      <c r="H29" s="15">
        <f t="shared" ca="1" si="5"/>
        <v>8</v>
      </c>
      <c r="I29" s="13" t="s">
        <v>4225</v>
      </c>
      <c r="K29" s="2"/>
      <c r="L29" s="2"/>
      <c r="P29" t="str">
        <f t="shared" ca="1" si="6"/>
        <v>insert into employees values ('MYZ027', 'Ms', 'Constance', 'Versace', '02-Apr-1986', '143 Land Square', 6993504732, 4, 'MYZ018');</v>
      </c>
    </row>
    <row r="30" spans="1:16" ht="18" customHeight="1" x14ac:dyDescent="0.25">
      <c r="A30" s="13" t="s">
        <v>4236</v>
      </c>
      <c r="B30" s="13" t="str">
        <f t="shared" ca="1" si="3"/>
        <v>Mr</v>
      </c>
      <c r="C30" s="13" t="str">
        <f ca="1">IF(B30="Mr.",r_fname_m(),r_fname_f())</f>
        <v>Rachael</v>
      </c>
      <c r="D30" s="13" t="str">
        <f t="shared" ca="1" si="4"/>
        <v>Long</v>
      </c>
      <c r="E30" s="14">
        <f t="shared" ca="1" si="0"/>
        <v>29597</v>
      </c>
      <c r="F30" s="13" t="str">
        <f t="shared" ca="1" si="1"/>
        <v>135 Rheinhardt Street</v>
      </c>
      <c r="G30" s="15">
        <f t="shared" ca="1" si="2"/>
        <v>6993763043</v>
      </c>
      <c r="H30" s="15">
        <f t="shared" ca="1" si="5"/>
        <v>4</v>
      </c>
      <c r="I30" s="13" t="s">
        <v>4220</v>
      </c>
      <c r="K30" s="2"/>
      <c r="L30" s="2"/>
      <c r="P30" t="str">
        <f t="shared" ca="1" si="6"/>
        <v>insert into employees values ('MYZ028', 'Ms', 'Philippa', 'Hollingsworth', '17-Apr-1977', '55 Kingsley Avenue', 6993548986, 8, 'MYZ018');</v>
      </c>
    </row>
    <row r="31" spans="1:16" ht="18" customHeight="1" x14ac:dyDescent="0.25">
      <c r="A31" s="13" t="s">
        <v>4237</v>
      </c>
      <c r="B31" s="13" t="str">
        <f t="shared" ca="1" si="3"/>
        <v>Ms</v>
      </c>
      <c r="C31" s="13" t="str">
        <f ca="1">IF(B31="Mr.",r_fname_m(),r_fname_f())</f>
        <v>Verenice</v>
      </c>
      <c r="D31" s="13" t="str">
        <f t="shared" ca="1" si="4"/>
        <v>Kaufman</v>
      </c>
      <c r="E31" s="14">
        <f t="shared" ca="1" si="0"/>
        <v>31077</v>
      </c>
      <c r="F31" s="13" t="str">
        <f t="shared" ca="1" si="1"/>
        <v>52 Billings Lane</v>
      </c>
      <c r="G31" s="15">
        <f t="shared" ca="1" si="2"/>
        <v>6993111053</v>
      </c>
      <c r="H31" s="15">
        <f t="shared" ca="1" si="5"/>
        <v>8</v>
      </c>
      <c r="I31" s="13" t="s">
        <v>4220</v>
      </c>
      <c r="K31" s="2"/>
      <c r="L31" s="2"/>
      <c r="P31" t="str">
        <f t="shared" ca="1" si="6"/>
        <v>insert into employees values ('MYZ029', 'Mr', 'Rachael', 'Long', '11-Jan-1981', '135 Rheinhardt Street', 6993763043, 4, 'MYZ013');</v>
      </c>
    </row>
    <row r="32" spans="1:16" ht="18" customHeight="1" x14ac:dyDescent="0.25">
      <c r="A32" s="13" t="s">
        <v>4238</v>
      </c>
      <c r="B32" s="13" t="str">
        <f t="shared" ca="1" si="3"/>
        <v>Ms</v>
      </c>
      <c r="C32" s="13" t="str">
        <f ca="1">IF(B32="Mr.",r_fname_m(),r_fname_f())</f>
        <v>Paulette</v>
      </c>
      <c r="D32" s="13" t="str">
        <f t="shared" ca="1" si="4"/>
        <v>Rossini</v>
      </c>
      <c r="E32" s="14">
        <f t="shared" ca="1" si="0"/>
        <v>29990</v>
      </c>
      <c r="F32" s="13" t="str">
        <f t="shared" ca="1" si="1"/>
        <v>190 York Park</v>
      </c>
      <c r="G32" s="15">
        <f t="shared" ca="1" si="2"/>
        <v>6993355174</v>
      </c>
      <c r="H32" s="15">
        <f t="shared" ca="1" si="5"/>
        <v>6</v>
      </c>
      <c r="I32" s="13" t="s">
        <v>4234</v>
      </c>
      <c r="K32" s="2"/>
      <c r="L32" s="2"/>
      <c r="P32" t="str">
        <f t="shared" ca="1" si="6"/>
        <v>insert into employees values ('MYZ030', 'Ms', 'Verenice', 'Kaufman', '30-Jan-1985', '52 Billings Lane', 6993111053, 8, 'MYZ013');</v>
      </c>
    </row>
    <row r="33" spans="1:16" ht="18" customHeight="1" x14ac:dyDescent="0.25">
      <c r="A33" s="13" t="s">
        <v>4239</v>
      </c>
      <c r="B33" s="13" t="str">
        <f t="shared" ca="1" si="3"/>
        <v>Ms</v>
      </c>
      <c r="C33" s="13" t="str">
        <f ca="1">IF(B33="Mr.",r_fname_m(),r_fname_f())</f>
        <v>Tamra</v>
      </c>
      <c r="D33" s="13" t="str">
        <f t="shared" ca="1" si="4"/>
        <v>Chin</v>
      </c>
      <c r="E33" s="14">
        <f t="shared" ca="1" si="0"/>
        <v>29378</v>
      </c>
      <c r="F33" s="13" t="str">
        <f t="shared" ca="1" si="1"/>
        <v>115 Link Park</v>
      </c>
      <c r="G33" s="15">
        <f t="shared" ca="1" si="2"/>
        <v>6993293079</v>
      </c>
      <c r="H33" s="15">
        <f t="shared" ca="1" si="5"/>
        <v>6</v>
      </c>
      <c r="I33" s="13" t="s">
        <v>4234</v>
      </c>
      <c r="K33" s="2"/>
      <c r="L33" s="2"/>
      <c r="P33" t="str">
        <f t="shared" ca="1" si="6"/>
        <v>insert into employees values ('MYZ031', 'Ms', 'Paulette', 'Rossini', '08-Feb-1982', '190 York Park', 6993355174, 6, 'MYZ027');</v>
      </c>
    </row>
    <row r="34" spans="1:16" ht="18" customHeight="1" x14ac:dyDescent="0.25">
      <c r="A34" s="13" t="s">
        <v>4240</v>
      </c>
      <c r="B34" s="13" t="str">
        <f t="shared" ca="1" si="3"/>
        <v>Mr</v>
      </c>
      <c r="C34" s="13" t="str">
        <f ca="1">IF(B34="Mr.",r_fname_m(),r_fname_f())</f>
        <v>Iva</v>
      </c>
      <c r="D34" s="13" t="str">
        <f t="shared" ca="1" si="4"/>
        <v>Chopin</v>
      </c>
      <c r="E34" s="14">
        <f t="shared" ca="1" si="0"/>
        <v>27840</v>
      </c>
      <c r="F34" s="13" t="str">
        <f t="shared" ca="1" si="1"/>
        <v>130 Strong Avenue</v>
      </c>
      <c r="G34" s="15">
        <f t="shared" ca="1" si="2"/>
        <v>6993750947</v>
      </c>
      <c r="H34" s="15">
        <f t="shared" ca="1" si="5"/>
        <v>7</v>
      </c>
      <c r="I34" s="13" t="s">
        <v>4234</v>
      </c>
      <c r="K34" s="2"/>
      <c r="L34" s="2"/>
      <c r="P34" t="str">
        <f t="shared" ca="1" si="6"/>
        <v>insert into employees values ('MYZ032', 'Ms', 'Tamra', 'Chin', '06-Jun-1980', '115 Link Park', 6993293079, 6, 'MYZ027');</v>
      </c>
    </row>
    <row r="35" spans="1:16" ht="18" customHeight="1" x14ac:dyDescent="0.25">
      <c r="A35" s="13" t="s">
        <v>4241</v>
      </c>
      <c r="B35" s="13" t="str">
        <f t="shared" ca="1" si="3"/>
        <v>Ms</v>
      </c>
      <c r="C35" s="13" t="str">
        <f ca="1">IF(B35="Mr.",r_fname_m(),r_fname_f())</f>
        <v>Veda</v>
      </c>
      <c r="D35" s="13" t="str">
        <f t="shared" ca="1" si="4"/>
        <v>Carey</v>
      </c>
      <c r="E35" s="14">
        <f t="shared" ca="1" si="0"/>
        <v>30430</v>
      </c>
      <c r="F35" s="13" t="str">
        <f t="shared" ca="1" si="1"/>
        <v>100 Velasco Park</v>
      </c>
      <c r="G35" s="15">
        <f t="shared" ca="1" si="2"/>
        <v>6993023691</v>
      </c>
      <c r="H35" s="15">
        <f t="shared" ca="1" si="5"/>
        <v>4</v>
      </c>
      <c r="I35" s="13" t="s">
        <v>4234</v>
      </c>
      <c r="K35" s="2"/>
      <c r="L35" s="2"/>
      <c r="P35" t="str">
        <f t="shared" ca="1" si="6"/>
        <v>insert into employees values ('MYZ033', 'Mr', 'Iva', 'Chopin', '21-Mar-1976', '130 Strong Avenue', 6993750947, 7, 'MYZ027');</v>
      </c>
    </row>
    <row r="36" spans="1:16" ht="18" customHeight="1" x14ac:dyDescent="0.25">
      <c r="A36" s="13" t="s">
        <v>4242</v>
      </c>
      <c r="B36" s="13" t="str">
        <f t="shared" ca="1" si="3"/>
        <v>Mr</v>
      </c>
      <c r="C36" s="13" t="str">
        <f ca="1">IF(B36="Mr.",r_fname_m(),r_fname_f())</f>
        <v>Avis</v>
      </c>
      <c r="D36" s="13" t="str">
        <f t="shared" ca="1" si="4"/>
        <v>Page</v>
      </c>
      <c r="E36" s="14">
        <f t="shared" ca="1" si="0"/>
        <v>30145</v>
      </c>
      <c r="F36" s="13" t="str">
        <f t="shared" ca="1" si="1"/>
        <v>165 Hodge Lane</v>
      </c>
      <c r="G36" s="15">
        <f t="shared" ca="1" si="2"/>
        <v>6993281241</v>
      </c>
      <c r="H36" s="15">
        <f t="shared" ca="1" si="5"/>
        <v>6</v>
      </c>
      <c r="I36" s="13" t="s">
        <v>4234</v>
      </c>
      <c r="K36" s="2"/>
      <c r="L36" s="2"/>
      <c r="P36" t="str">
        <f t="shared" ca="1" si="6"/>
        <v>insert into employees values ('MYZ034', 'Ms', 'Veda', 'Carey', '24-Apr-1983', '100 Velasco Park', 6993023691, 4, 'MYZ027');</v>
      </c>
    </row>
    <row r="37" spans="1:16" ht="18" customHeight="1" x14ac:dyDescent="0.25">
      <c r="A37" s="13" t="s">
        <v>4243</v>
      </c>
      <c r="B37" s="13" t="str">
        <f t="shared" ca="1" si="3"/>
        <v>Ms</v>
      </c>
      <c r="C37" s="13" t="str">
        <f ca="1">IF(B37="Mr.",r_fname_m(),r_fname_f())</f>
        <v>Glenda</v>
      </c>
      <c r="D37" s="13" t="str">
        <f t="shared" ca="1" si="4"/>
        <v>Swanson</v>
      </c>
      <c r="E37" s="14">
        <f t="shared" ca="1" si="0"/>
        <v>28437</v>
      </c>
      <c r="F37" s="13" t="str">
        <f t="shared" ca="1" si="1"/>
        <v>12 Holbrook Avenue</v>
      </c>
      <c r="G37" s="15">
        <f t="shared" ca="1" si="2"/>
        <v>6993974693</v>
      </c>
      <c r="H37" s="15">
        <f t="shared" ca="1" si="5"/>
        <v>4</v>
      </c>
      <c r="I37" s="13" t="s">
        <v>4234</v>
      </c>
      <c r="K37" s="2"/>
      <c r="L37" s="2"/>
      <c r="P37" t="str">
        <f t="shared" ca="1" si="6"/>
        <v>insert into employees values ('MYZ035', 'Mr', 'Avis', 'Page', '13-Jul-1982', '165 Hodge Lane', 6993281241, 6, 'MYZ027');</v>
      </c>
    </row>
    <row r="38" spans="1:16" ht="18" customHeight="1" x14ac:dyDescent="0.25">
      <c r="A38" s="13" t="s">
        <v>4244</v>
      </c>
      <c r="B38" s="13" t="str">
        <f t="shared" ca="1" si="3"/>
        <v>Mr</v>
      </c>
      <c r="C38" s="13" t="str">
        <f ca="1">IF(B38="Mr.",r_fname_m(),r_fname_f())</f>
        <v>Adrien</v>
      </c>
      <c r="D38" s="13" t="str">
        <f t="shared" ca="1" si="4"/>
        <v>Szabo</v>
      </c>
      <c r="E38" s="14">
        <f t="shared" ca="1" si="0"/>
        <v>28132</v>
      </c>
      <c r="F38" s="13" t="str">
        <f t="shared" ca="1" si="1"/>
        <v>38 Bird Street</v>
      </c>
      <c r="G38" s="15">
        <f t="shared" ca="1" si="2"/>
        <v>6993006609</v>
      </c>
      <c r="H38" s="15">
        <f t="shared" ca="1" si="5"/>
        <v>5</v>
      </c>
      <c r="I38" s="13" t="s">
        <v>4234</v>
      </c>
      <c r="K38" s="2"/>
      <c r="L38" s="2"/>
      <c r="P38" t="str">
        <f t="shared" ca="1" si="6"/>
        <v>insert into employees values ('MYZ036', 'Ms', 'Glenda', 'Swanson', '08-Nov-1977', '12 Holbrook Avenue', 6993974693, 4, 'MYZ027');</v>
      </c>
    </row>
    <row r="39" spans="1:16" ht="18" customHeight="1" x14ac:dyDescent="0.25">
      <c r="A39" s="13" t="s">
        <v>4245</v>
      </c>
      <c r="B39" s="13" t="str">
        <f t="shared" ca="1" si="3"/>
        <v>Mr</v>
      </c>
      <c r="C39" s="13" t="str">
        <f ca="1">IF(B39="Mr.",r_fname_m(),r_fname_f())</f>
        <v>Cleora</v>
      </c>
      <c r="D39" s="13" t="str">
        <f t="shared" ca="1" si="4"/>
        <v>Drake</v>
      </c>
      <c r="E39" s="14">
        <f t="shared" ca="1" si="0"/>
        <v>27798</v>
      </c>
      <c r="F39" s="13" t="str">
        <f t="shared" ca="1" si="1"/>
        <v>95 Nieves Street</v>
      </c>
      <c r="G39" s="15">
        <f t="shared" ca="1" si="2"/>
        <v>6993437919</v>
      </c>
      <c r="H39" s="15">
        <f t="shared" ca="1" si="5"/>
        <v>8</v>
      </c>
      <c r="I39" s="13" t="s">
        <v>4234</v>
      </c>
      <c r="K39" s="2"/>
      <c r="L39" s="2"/>
      <c r="P39" t="str">
        <f t="shared" ca="1" si="6"/>
        <v>insert into employees values ('MYZ037', 'Mr', 'Adrien', 'Szabo', '07-Jan-1977', '38 Bird Street', 6993006609, 5, 'MYZ027');</v>
      </c>
    </row>
    <row r="40" spans="1:16" ht="18" customHeight="1" x14ac:dyDescent="0.25">
      <c r="A40" s="13" t="s">
        <v>4246</v>
      </c>
      <c r="B40" s="13" t="str">
        <f t="shared" ca="1" si="3"/>
        <v>Mr</v>
      </c>
      <c r="C40" s="13" t="str">
        <f ca="1">IF(B40="Mr.",r_fname_m(),r_fname_f())</f>
        <v>Mitsue</v>
      </c>
      <c r="D40" s="13" t="str">
        <f t="shared" ca="1" si="4"/>
        <v>Vauxhall</v>
      </c>
      <c r="E40" s="14">
        <f t="shared" ca="1" si="0"/>
        <v>28191</v>
      </c>
      <c r="F40" s="13" t="str">
        <f t="shared" ca="1" si="1"/>
        <v>176 Chu Park</v>
      </c>
      <c r="G40" s="15">
        <f t="shared" ca="1" si="2"/>
        <v>6993664802</v>
      </c>
      <c r="H40" s="15">
        <f t="shared" ca="1" si="5"/>
        <v>3</v>
      </c>
      <c r="I40" s="13" t="s">
        <v>4234</v>
      </c>
      <c r="K40" s="2"/>
      <c r="L40" s="2"/>
      <c r="P40" t="str">
        <f t="shared" ca="1" si="6"/>
        <v>insert into employees values ('MYZ038', 'Mr', 'Cleora', 'Drake', '08-Feb-1976', '95 Nieves Street', 6993437919, 8, 'MYZ027');</v>
      </c>
    </row>
    <row r="41" spans="1:16" ht="18" customHeight="1" x14ac:dyDescent="0.25">
      <c r="A41" s="13" t="s">
        <v>4247</v>
      </c>
      <c r="B41" s="13" t="str">
        <f t="shared" ca="1" si="3"/>
        <v>Ms</v>
      </c>
      <c r="C41" s="13" t="str">
        <f ca="1">IF(B41="Mr.",r_fname_m(),r_fname_f())</f>
        <v>Edda</v>
      </c>
      <c r="D41" s="13" t="str">
        <f t="shared" ca="1" si="4"/>
        <v>Blevins</v>
      </c>
      <c r="E41" s="14">
        <f t="shared" ca="1" si="0"/>
        <v>29412</v>
      </c>
      <c r="F41" s="13" t="str">
        <f t="shared" ca="1" si="1"/>
        <v>180 Klein Square</v>
      </c>
      <c r="G41" s="15">
        <f t="shared" ca="1" si="2"/>
        <v>6993376983</v>
      </c>
      <c r="H41" s="15">
        <f t="shared" ca="1" si="5"/>
        <v>5</v>
      </c>
      <c r="I41" s="13" t="s">
        <v>4234</v>
      </c>
      <c r="K41" s="2"/>
      <c r="L41" s="2"/>
      <c r="P41" t="str">
        <f t="shared" ca="1" si="6"/>
        <v>insert into employees values ('MYZ039', 'Mr', 'Mitsue', 'Vauxhall', '07-Mar-1977', '176 Chu Park', 6993664802, 3, 'MYZ027');</v>
      </c>
    </row>
    <row r="42" spans="1:16" ht="18" customHeight="1" x14ac:dyDescent="0.25">
      <c r="K42" s="2"/>
      <c r="L42" s="2"/>
      <c r="P42" t="str">
        <f t="shared" ca="1" si="6"/>
        <v>insert into employees values ('MYZ040', 'Ms', 'Edda', 'Blevins', '10-Jul-1980', '180 Klein Square', 6993376983, 5, 'MYZ027');</v>
      </c>
    </row>
    <row r="43" spans="1:16" ht="18" customHeight="1" x14ac:dyDescent="0.25">
      <c r="J43" s="4"/>
      <c r="K43" s="2"/>
      <c r="L43" s="2"/>
    </row>
    <row r="44" spans="1:16" ht="18" customHeight="1" x14ac:dyDescent="0.25">
      <c r="J44" s="4"/>
      <c r="K44" s="2"/>
      <c r="L44" s="2"/>
    </row>
    <row r="45" spans="1:16" ht="18" customHeight="1" x14ac:dyDescent="0.25">
      <c r="L45" s="2"/>
    </row>
    <row r="46" spans="1:16" ht="18" customHeight="1" x14ac:dyDescent="0.25">
      <c r="L46" s="2"/>
    </row>
    <row r="47" spans="1:16" ht="18" customHeight="1" x14ac:dyDescent="0.25">
      <c r="L47" s="2"/>
    </row>
    <row r="48" spans="1:16" ht="18" customHeight="1" x14ac:dyDescent="0.25">
      <c r="L48" s="2"/>
    </row>
    <row r="49" spans="12:12" ht="18" customHeight="1" x14ac:dyDescent="0.25">
      <c r="L49" s="2"/>
    </row>
    <row r="50" spans="12:12" ht="18" customHeight="1" x14ac:dyDescent="0.25">
      <c r="L50" s="2"/>
    </row>
    <row r="51" spans="12:12" ht="18" customHeight="1" x14ac:dyDescent="0.25">
      <c r="L51" s="2"/>
    </row>
    <row r="52" spans="12:12" ht="18" customHeight="1" x14ac:dyDescent="0.25">
      <c r="L52" s="2"/>
    </row>
    <row r="53" spans="12:12" ht="18" customHeight="1" x14ac:dyDescent="0.25">
      <c r="L53" s="2"/>
    </row>
    <row r="54" spans="12:12" ht="18" customHeight="1" x14ac:dyDescent="0.25">
      <c r="L54" s="2"/>
    </row>
    <row r="55" spans="12:12" ht="18" customHeight="1" x14ac:dyDescent="0.25">
      <c r="L55" s="2"/>
    </row>
    <row r="56" spans="12:12" ht="18" customHeight="1" x14ac:dyDescent="0.25">
      <c r="L56" s="2"/>
    </row>
    <row r="57" spans="12:12" ht="18" customHeight="1" x14ac:dyDescent="0.25">
      <c r="L57" s="2"/>
    </row>
    <row r="58" spans="12:12" ht="18" customHeight="1" x14ac:dyDescent="0.25">
      <c r="L58" s="2"/>
    </row>
    <row r="59" spans="12:12" ht="18" customHeight="1" x14ac:dyDescent="0.25">
      <c r="L59" s="2"/>
    </row>
    <row r="60" spans="12:12" ht="18" customHeight="1" x14ac:dyDescent="0.25">
      <c r="L60" s="2"/>
    </row>
    <row r="61" spans="12:12" ht="18" customHeight="1" x14ac:dyDescent="0.25">
      <c r="L61" s="2"/>
    </row>
    <row r="62" spans="12:12" ht="18" customHeight="1" x14ac:dyDescent="0.25">
      <c r="L62" s="2"/>
    </row>
    <row r="63" spans="12:12" ht="18" customHeight="1" x14ac:dyDescent="0.25">
      <c r="L63" s="2"/>
    </row>
    <row r="64" spans="12:12" x14ac:dyDescent="0.25">
      <c r="L64" s="2"/>
    </row>
  </sheetData>
  <phoneticPr fontId="2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103"/>
  <sheetViews>
    <sheetView zoomScale="80" zoomScaleNormal="80" workbookViewId="0">
      <selection activeCell="Q2" sqref="Q2:Q41"/>
    </sheetView>
  </sheetViews>
  <sheetFormatPr defaultRowHeight="13.2" x14ac:dyDescent="0.25"/>
  <cols>
    <col min="1" max="1" width="19.5546875" bestFit="1" customWidth="1"/>
    <col min="2" max="2" width="18" bestFit="1" customWidth="1"/>
    <col min="3" max="3" width="25" style="9" bestFit="1" customWidth="1"/>
    <col min="4" max="4" width="13.5546875" bestFit="1" customWidth="1"/>
    <col min="5" max="5" width="12.5546875" bestFit="1" customWidth="1"/>
    <col min="6" max="6" width="14.109375" bestFit="1" customWidth="1"/>
    <col min="7" max="7" width="14.6640625" bestFit="1" customWidth="1"/>
    <col min="8" max="8" width="13.88671875" style="3" bestFit="1" customWidth="1"/>
    <col min="9" max="9" width="21.109375" style="3" bestFit="1" customWidth="1"/>
    <col min="10" max="10" width="14.33203125" style="3" bestFit="1" customWidth="1"/>
    <col min="11" max="11" width="8.88671875" style="2"/>
    <col min="12" max="12" width="20" bestFit="1" customWidth="1"/>
    <col min="13" max="13" width="14.5546875" bestFit="1" customWidth="1"/>
    <col min="14" max="14" width="20.77734375" bestFit="1" customWidth="1"/>
    <col min="15" max="15" width="13.88671875" bestFit="1" customWidth="1"/>
    <col min="16" max="16" width="8.33203125" customWidth="1"/>
    <col min="17" max="17" width="143.21875" customWidth="1"/>
    <col min="18" max="18" width="16.5546875" bestFit="1" customWidth="1"/>
  </cols>
  <sheetData>
    <row r="1" spans="1:18" ht="18" customHeight="1" x14ac:dyDescent="0.25">
      <c r="A1" s="21" t="s">
        <v>4205</v>
      </c>
      <c r="B1" s="11" t="s">
        <v>4104</v>
      </c>
      <c r="C1" s="11" t="s">
        <v>4303</v>
      </c>
      <c r="D1" s="11" t="s">
        <v>4257</v>
      </c>
      <c r="E1" s="11" t="s">
        <v>4258</v>
      </c>
      <c r="F1" s="12" t="s">
        <v>4259</v>
      </c>
      <c r="G1" s="12" t="s">
        <v>4304</v>
      </c>
      <c r="H1" s="12" t="s">
        <v>4260</v>
      </c>
      <c r="I1" s="22" t="s">
        <v>4106</v>
      </c>
      <c r="J1" s="20" t="s">
        <v>4261</v>
      </c>
      <c r="Q1" s="7" t="s">
        <v>4122</v>
      </c>
    </row>
    <row r="2" spans="1:18" ht="18" customHeight="1" x14ac:dyDescent="0.25">
      <c r="A2" s="17" t="s">
        <v>4262</v>
      </c>
      <c r="B2" s="7" t="str">
        <f>Employees!A2</f>
        <v>MYZ001</v>
      </c>
      <c r="C2" s="13" t="str">
        <f ca="1">Employees!B2 &amp; " " &amp; Employees!C2 &amp; " " &amp; Employees!D2</f>
        <v>Mr Karren Godfrey</v>
      </c>
      <c r="D2" s="13" t="str">
        <f ca="1">r_choice($L$4:$L$6)</f>
        <v>Manager</v>
      </c>
      <c r="E2" s="13" t="str">
        <f ca="1">r_choice($L$9:$L$12)</f>
        <v>Design</v>
      </c>
      <c r="F2" s="14" t="str">
        <f ca="1">r_choice($L$15:$L$21)</f>
        <v>Sydney</v>
      </c>
      <c r="G2" s="14">
        <f t="shared" ref="G2:G41" ca="1" si="0">IF(ISNUMBER(SEARCH(2014,I2)),r_date(2013,1,2013,9),IF(ISNUMBER(SEARCH(2015,I2)),r_date(2014,1,2014,9),r_date(2015,1,2015,9)))</f>
        <v>42273</v>
      </c>
      <c r="H2" s="14">
        <f ca="1">IF(ISNUMBER(SEARCH(Summer,I2)),G2+r_integer(90,180),G2+r_integer(90,270))</f>
        <v>42536</v>
      </c>
      <c r="I2" s="23" t="str">
        <f ca="1">r_choice($N$4:$N$5)&amp;" Collection "&amp;r_choice($O$4:$O$6)</f>
        <v>Winter Collection 2016</v>
      </c>
      <c r="J2" s="24">
        <f ca="1">r_integer(25,50)*100</f>
        <v>2900</v>
      </c>
      <c r="N2" s="28" t="s">
        <v>4106</v>
      </c>
      <c r="O2" s="28"/>
      <c r="Q2" s="5" t="str">
        <f ca="1">insertinto(A2:J2,$N$9:$O$18, "assignments")</f>
        <v>insert into assignments values ('GIJ001', 'MYZ001', 'Mr Karren Godfrey', 'Manager', 'Design', 'Sydney', '26-Sep-2015', '15-Jun-2016', 'Winter Collection 2016', 2900);</v>
      </c>
    </row>
    <row r="3" spans="1:18" ht="18" customHeight="1" x14ac:dyDescent="0.25">
      <c r="A3" s="17" t="s">
        <v>4263</v>
      </c>
      <c r="B3" s="7" t="str">
        <f>Employees!A3</f>
        <v>MYZ002</v>
      </c>
      <c r="C3" s="13" t="str">
        <f ca="1">Employees!B3 &amp; " " &amp; Employees!C3 &amp; " " &amp; Employees!D3</f>
        <v>Ms Lisa Ramey</v>
      </c>
      <c r="D3" s="13" t="str">
        <f ca="1">r_choice($L$4:$L$6)</f>
        <v>Assistant</v>
      </c>
      <c r="E3" s="13" t="str">
        <f ca="1">r_choice($L$9:$L$12)</f>
        <v>Design</v>
      </c>
      <c r="F3" s="14" t="str">
        <f ca="1">r_choice($L$15:$L$21)</f>
        <v>Paris</v>
      </c>
      <c r="G3" s="14">
        <f t="shared" ca="1" si="0"/>
        <v>41721</v>
      </c>
      <c r="H3" s="14">
        <f ca="1">IF(ISNUMBER(SEARCH(Summer,I3)),G3+r_integer(90,180),G3+r_integer(90,270))</f>
        <v>41895</v>
      </c>
      <c r="I3" s="23" t="str">
        <f ca="1">r_choice($N$4:$N$5)&amp;" Collection "&amp;r_choice($O$4:$O$6)</f>
        <v>Winter Collection 2015</v>
      </c>
      <c r="J3" s="24">
        <f t="shared" ref="J3:J41" ca="1" si="1">r_integer(25,50)*100</f>
        <v>4800</v>
      </c>
      <c r="L3" s="11" t="s">
        <v>4257</v>
      </c>
      <c r="N3" s="17" t="s">
        <v>4115</v>
      </c>
      <c r="O3" s="17" t="s">
        <v>4107</v>
      </c>
      <c r="Q3" s="5" t="str">
        <f t="shared" ref="Q3:Q41" ca="1" si="2">insertinto(A3:J3,$N$9:$O$18, "assignments")</f>
        <v>insert into assignments values ('GIJ002', 'MYZ002', 'Ms Lisa Ramey', 'Assistant', 'Design', 'Paris', '23-Mar-2014', '13-Sep-2014', 'Winter Collection 2015', 4800);</v>
      </c>
    </row>
    <row r="4" spans="1:18" ht="18" customHeight="1" x14ac:dyDescent="0.25">
      <c r="A4" s="17" t="s">
        <v>4264</v>
      </c>
      <c r="B4" s="7" t="str">
        <f>Employees!A4</f>
        <v>MYZ003</v>
      </c>
      <c r="C4" s="13" t="str">
        <f ca="1">Employees!B4 &amp; " " &amp; Employees!C4 &amp; " " &amp; Employees!D4</f>
        <v>Ms Ekave Good</v>
      </c>
      <c r="D4" s="13" t="str">
        <f ca="1">r_choice($L$4:$L$6)</f>
        <v>Manager</v>
      </c>
      <c r="E4" s="13" t="str">
        <f ca="1">r_choice($L$9:$L$12)</f>
        <v>Manufacturing</v>
      </c>
      <c r="F4" s="14" t="str">
        <f ca="1">r_choice($L$15:$L$21)</f>
        <v>Madrid</v>
      </c>
      <c r="G4" s="14">
        <f t="shared" ca="1" si="0"/>
        <v>41318</v>
      </c>
      <c r="H4" s="14">
        <f ca="1">IF(ISNUMBER(SEARCH(Summer,I4)),G4+r_integer(90,180),G4+r_integer(90,270))</f>
        <v>41486</v>
      </c>
      <c r="I4" s="23" t="str">
        <f ca="1">r_choice($N$4:$N$5)&amp;" Collection "&amp;r_choice($O$4:$O$6)</f>
        <v>Winter Collection 2014</v>
      </c>
      <c r="J4" s="24">
        <f t="shared" ca="1" si="1"/>
        <v>3000</v>
      </c>
      <c r="L4" s="7" t="s">
        <v>4111</v>
      </c>
      <c r="M4" s="7"/>
      <c r="N4" s="17" t="s">
        <v>4114</v>
      </c>
      <c r="O4" s="17" t="s">
        <v>4378</v>
      </c>
      <c r="Q4" s="5" t="str">
        <f t="shared" ca="1" si="2"/>
        <v>insert into assignments values ('GIJ003', 'MYZ003', 'Ms Ekave Good', 'Manager', 'Manufacturing', 'Madrid', '13-Feb-2013', '31-Jul-2013', 'Winter Collection 2014', 3000);</v>
      </c>
    </row>
    <row r="5" spans="1:18" ht="18" customHeight="1" x14ac:dyDescent="0.25">
      <c r="A5" s="17" t="s">
        <v>4265</v>
      </c>
      <c r="B5" s="7" t="str">
        <f>Employees!A5</f>
        <v>MYZ004</v>
      </c>
      <c r="C5" s="13" t="str">
        <f ca="1">Employees!B5 &amp; " " &amp; Employees!C5 &amp; " " &amp; Employees!D5</f>
        <v>Ms Elwanda Parra</v>
      </c>
      <c r="D5" s="13" t="str">
        <f ca="1">r_choice($L$4:$L$6)</f>
        <v>Manager</v>
      </c>
      <c r="E5" s="13" t="str">
        <f ca="1">r_choice($L$9:$L$12)</f>
        <v>Styling</v>
      </c>
      <c r="F5" s="14" t="str">
        <f ca="1">r_choice($L$15:$L$21)</f>
        <v>Seoul</v>
      </c>
      <c r="G5" s="14">
        <f t="shared" ca="1" si="0"/>
        <v>42181</v>
      </c>
      <c r="H5" s="14">
        <f ca="1">IF(ISNUMBER(SEARCH(Summer,I5)),G5+r_integer(90,180),G5+r_integer(90,270))</f>
        <v>42276</v>
      </c>
      <c r="I5" s="23" t="str">
        <f ca="1">r_choice($N$4:$N$5)&amp;" Collection "&amp;r_choice($O$4:$O$6)</f>
        <v>Summer Collection 2016</v>
      </c>
      <c r="J5" s="24">
        <f t="shared" ca="1" si="1"/>
        <v>3700</v>
      </c>
      <c r="L5" s="7" t="s">
        <v>4110</v>
      </c>
      <c r="M5" s="7"/>
      <c r="N5" s="17" t="s">
        <v>1955</v>
      </c>
      <c r="O5" s="17" t="s">
        <v>4376</v>
      </c>
      <c r="Q5" s="5" t="str">
        <f t="shared" ca="1" si="2"/>
        <v>insert into assignments values ('GIJ004', 'MYZ004', 'Ms Elwanda Parra', 'Manager', 'Styling', 'Seoul', '26-Jun-2015', '29-Sep-2015', 'Summer Collection 2016', 3700);</v>
      </c>
    </row>
    <row r="6" spans="1:18" ht="18" customHeight="1" x14ac:dyDescent="0.25">
      <c r="A6" s="17" t="s">
        <v>4266</v>
      </c>
      <c r="B6" s="7" t="str">
        <f>Employees!A6</f>
        <v>MYZ005</v>
      </c>
      <c r="C6" s="13" t="str">
        <f ca="1">Employees!B6 &amp; " " &amp; Employees!C6 &amp; " " &amp; Employees!D6</f>
        <v>Ms Madalene Cummins</v>
      </c>
      <c r="D6" s="13" t="str">
        <f ca="1">r_choice($L$4:$L$6)</f>
        <v>Manager</v>
      </c>
      <c r="E6" s="13" t="str">
        <f ca="1">r_choice($L$9:$L$12)</f>
        <v>Design</v>
      </c>
      <c r="F6" s="14" t="str">
        <f ca="1">r_choice($L$15:$L$21)</f>
        <v>Tokyo</v>
      </c>
      <c r="G6" s="14">
        <f t="shared" ca="1" si="0"/>
        <v>41717</v>
      </c>
      <c r="H6" s="14">
        <f ca="1">IF(ISNUMBER(SEARCH(Summer,I6)),G6+r_integer(90,180),G6+r_integer(90,270))</f>
        <v>41865</v>
      </c>
      <c r="I6" s="23" t="str">
        <f ca="1">r_choice($N$4:$N$5)&amp;" Collection "&amp;r_choice($O$4:$O$6)</f>
        <v>Summer Collection 2015</v>
      </c>
      <c r="J6" s="24">
        <f t="shared" ca="1" si="1"/>
        <v>3800</v>
      </c>
      <c r="L6" s="7" t="s">
        <v>4123</v>
      </c>
      <c r="M6" s="7"/>
      <c r="O6" s="17" t="s">
        <v>4377</v>
      </c>
      <c r="Q6" s="5" t="str">
        <f t="shared" ca="1" si="2"/>
        <v>insert into assignments values ('GIJ005', 'MYZ005', 'Ms Madalene Cummins', 'Manager', 'Design', 'Tokyo', '19-Mar-2014', '14-Aug-2014', 'Summer Collection 2015', 3800);</v>
      </c>
    </row>
    <row r="7" spans="1:18" ht="18" customHeight="1" x14ac:dyDescent="0.25">
      <c r="A7" s="17" t="s">
        <v>4267</v>
      </c>
      <c r="B7" s="7" t="str">
        <f>Employees!A7</f>
        <v>MYZ006</v>
      </c>
      <c r="C7" s="13" t="str">
        <f ca="1">Employees!B7 &amp; " " &amp; Employees!C7 &amp; " " &amp; Employees!D7</f>
        <v>Mr Sandra Dotson</v>
      </c>
      <c r="D7" s="13" t="str">
        <f ca="1">r_choice($L$4:$L$6)</f>
        <v>Manager</v>
      </c>
      <c r="E7" s="13" t="str">
        <f ca="1">r_choice($L$9:$L$12)</f>
        <v>Styling</v>
      </c>
      <c r="F7" s="14" t="str">
        <f ca="1">r_choice($L$15:$L$21)</f>
        <v>Tokyo</v>
      </c>
      <c r="G7" s="14">
        <f t="shared" ca="1" si="0"/>
        <v>41430</v>
      </c>
      <c r="H7" s="14">
        <f ca="1">IF(ISNUMBER(SEARCH(Summer,I7)),G7+r_integer(90,180),G7+r_integer(90,270))</f>
        <v>41683</v>
      </c>
      <c r="I7" s="23" t="str">
        <f ca="1">r_choice($N$4:$N$5)&amp;" Collection "&amp;r_choice($O$4:$O$6)</f>
        <v>Winter Collection 2014</v>
      </c>
      <c r="J7" s="24">
        <f t="shared" ca="1" si="1"/>
        <v>2600</v>
      </c>
      <c r="L7" s="1"/>
      <c r="M7" s="1"/>
      <c r="N7" s="19"/>
      <c r="Q7" s="5" t="str">
        <f t="shared" ca="1" si="2"/>
        <v>insert into assignments values ('GIJ006', 'MYZ006', 'Mr Sandra Dotson', 'Manager', 'Styling', 'Tokyo', '05-Jun-2013', '13-Feb-2014', 'Winter Collection 2014', 2600);</v>
      </c>
    </row>
    <row r="8" spans="1:18" ht="18" customHeight="1" x14ac:dyDescent="0.25">
      <c r="A8" s="17" t="s">
        <v>4268</v>
      </c>
      <c r="B8" s="7" t="str">
        <f>Employees!A8</f>
        <v>MYZ007</v>
      </c>
      <c r="C8" s="13" t="str">
        <f ca="1">Employees!B8 &amp; " " &amp; Employees!C8 &amp; " " &amp; Employees!D8</f>
        <v>Mr Pauline Landrieu</v>
      </c>
      <c r="D8" s="13" t="str">
        <f ca="1">r_choice($L$4:$L$6)</f>
        <v>Manager</v>
      </c>
      <c r="E8" s="13" t="str">
        <f ca="1">r_choice($L$9:$L$12)</f>
        <v>Promotion</v>
      </c>
      <c r="F8" s="14" t="str">
        <f ca="1">r_choice($L$15:$L$21)</f>
        <v>Sydney</v>
      </c>
      <c r="G8" s="14">
        <f t="shared" ca="1" si="0"/>
        <v>42245</v>
      </c>
      <c r="H8" s="14">
        <f ca="1">IF(ISNUMBER(SEARCH(Summer,I8)),G8+r_integer(90,180),G8+r_integer(90,270))</f>
        <v>42457</v>
      </c>
      <c r="I8" s="23" t="str">
        <f ca="1">r_choice($N$4:$N$5)&amp;" Collection "&amp;r_choice($O$4:$O$6)</f>
        <v>Winter Collection 2016</v>
      </c>
      <c r="J8" s="24">
        <f t="shared" ca="1" si="1"/>
        <v>4400</v>
      </c>
      <c r="L8" s="11" t="s">
        <v>4258</v>
      </c>
      <c r="M8" s="1"/>
      <c r="N8" s="1"/>
      <c r="Q8" s="5" t="str">
        <f t="shared" ca="1" si="2"/>
        <v>insert into assignments values ('GIJ007', 'MYZ007', 'Mr Pauline Landrieu', 'Manager', 'Promotion', 'Sydney', '29-Aug-2015', '28-Mar-2016', 'Winter Collection 2016', 4400);</v>
      </c>
    </row>
    <row r="9" spans="1:18" ht="18" customHeight="1" x14ac:dyDescent="0.25">
      <c r="A9" s="17" t="s">
        <v>4269</v>
      </c>
      <c r="B9" s="7" t="str">
        <f>Employees!A9</f>
        <v>MYZ008</v>
      </c>
      <c r="C9" s="13" t="str">
        <f ca="1">Employees!B9 &amp; " " &amp; Employees!C9 &amp; " " &amp; Employees!D9</f>
        <v>Mr Eleonor Presley</v>
      </c>
      <c r="D9" s="13" t="str">
        <f ca="1">r_choice($L$4:$L$6)</f>
        <v>Labourer</v>
      </c>
      <c r="E9" s="13" t="str">
        <f ca="1">r_choice($L$9:$L$12)</f>
        <v>Promotion</v>
      </c>
      <c r="F9" s="14" t="str">
        <f ca="1">r_choice($L$15:$L$21)</f>
        <v>New York</v>
      </c>
      <c r="G9" s="14">
        <f t="shared" ca="1" si="0"/>
        <v>42197</v>
      </c>
      <c r="H9" s="14">
        <f ca="1">IF(ISNUMBER(SEARCH(Summer,I9)),G9+r_integer(90,180),G9+r_integer(90,270))</f>
        <v>42354</v>
      </c>
      <c r="I9" s="23" t="str">
        <f ca="1">r_choice($N$4:$N$5)&amp;" Collection "&amp;r_choice($O$4:$O$6)</f>
        <v>Winter Collection 2016</v>
      </c>
      <c r="J9" s="24">
        <f t="shared" ca="1" si="1"/>
        <v>4800</v>
      </c>
      <c r="L9" s="7" t="s">
        <v>4112</v>
      </c>
      <c r="M9" s="1"/>
      <c r="N9" s="11" t="s">
        <v>4205</v>
      </c>
      <c r="O9" s="7" t="s">
        <v>4119</v>
      </c>
      <c r="Q9" s="5" t="str">
        <f t="shared" ca="1" si="2"/>
        <v>insert into assignments values ('GIJ008', 'MYZ008', 'Mr Eleonor Presley', 'Labourer', 'Promotion', 'New York', '12-Jul-2015', '16-Dec-2015', 'Winter Collection 2016', 4800);</v>
      </c>
    </row>
    <row r="10" spans="1:18" ht="18" customHeight="1" x14ac:dyDescent="0.25">
      <c r="A10" s="17" t="s">
        <v>4270</v>
      </c>
      <c r="B10" s="7" t="str">
        <f>Employees!A10</f>
        <v>MYZ009</v>
      </c>
      <c r="C10" s="13" t="str">
        <f ca="1">Employees!B10 &amp; " " &amp; Employees!C10 &amp; " " &amp; Employees!D10</f>
        <v>Ms Camelia Strickland</v>
      </c>
      <c r="D10" s="13" t="str">
        <f ca="1">r_choice($L$4:$L$6)</f>
        <v>Assistant</v>
      </c>
      <c r="E10" s="13" t="str">
        <f ca="1">r_choice($L$9:$L$12)</f>
        <v>Manufacturing</v>
      </c>
      <c r="F10" s="14" t="str">
        <f ca="1">r_choice($L$15:$L$21)</f>
        <v>Seoul</v>
      </c>
      <c r="G10" s="14">
        <f t="shared" ca="1" si="0"/>
        <v>41862</v>
      </c>
      <c r="H10" s="14">
        <f ca="1">IF(ISNUMBER(SEARCH(Summer,I10)),G10+r_integer(90,180),G10+r_integer(90,270))</f>
        <v>42114</v>
      </c>
      <c r="I10" s="23" t="str">
        <f ca="1">r_choice($N$4:$N$5)&amp;" Collection "&amp;r_choice($O$4:$O$6)</f>
        <v>Winter Collection 2015</v>
      </c>
      <c r="J10" s="24">
        <f t="shared" ca="1" si="1"/>
        <v>4100</v>
      </c>
      <c r="L10" s="7" t="s">
        <v>4108</v>
      </c>
      <c r="N10" s="11" t="s">
        <v>4104</v>
      </c>
      <c r="O10" s="7" t="s">
        <v>4119</v>
      </c>
      <c r="Q10" s="5" t="str">
        <f t="shared" ca="1" si="2"/>
        <v>insert into assignments values ('GIJ009', 'MYZ009', 'Ms Camelia Strickland', 'Assistant', 'Manufacturing', 'Seoul', '11-Aug-2014', '20-Apr-2015', 'Winter Collection 2015', 4100);</v>
      </c>
    </row>
    <row r="11" spans="1:18" ht="18" customHeight="1" x14ac:dyDescent="0.25">
      <c r="A11" s="17" t="s">
        <v>4271</v>
      </c>
      <c r="B11" s="7" t="str">
        <f>Employees!A11</f>
        <v>MYZ010</v>
      </c>
      <c r="C11" s="13" t="str">
        <f ca="1">Employees!B11 &amp; " " &amp; Employees!C11 &amp; " " &amp; Employees!D11</f>
        <v>Ms Harriet Temple</v>
      </c>
      <c r="D11" s="13" t="str">
        <f ca="1">r_choice($L$4:$L$6)</f>
        <v>Labourer</v>
      </c>
      <c r="E11" s="13" t="str">
        <f ca="1">r_choice($L$9:$L$12)</f>
        <v>Styling</v>
      </c>
      <c r="F11" s="14" t="str">
        <f ca="1">r_choice($L$15:$L$21)</f>
        <v>Madrid</v>
      </c>
      <c r="G11" s="14">
        <f t="shared" ca="1" si="0"/>
        <v>41460</v>
      </c>
      <c r="H11" s="14">
        <f ca="1">IF(ISNUMBER(SEARCH(Summer,I11)),G11+r_integer(90,180),G11+r_integer(90,270))</f>
        <v>41567</v>
      </c>
      <c r="I11" s="23" t="str">
        <f ca="1">r_choice($N$4:$N$5)&amp;" Collection "&amp;r_choice($O$4:$O$6)</f>
        <v>Winter Collection 2014</v>
      </c>
      <c r="J11" s="24">
        <f t="shared" ca="1" si="1"/>
        <v>4900</v>
      </c>
      <c r="L11" s="7" t="s">
        <v>4109</v>
      </c>
      <c r="N11" s="11" t="s">
        <v>4126</v>
      </c>
      <c r="O11" s="7" t="s">
        <v>4119</v>
      </c>
      <c r="Q11" s="5" t="str">
        <f t="shared" ca="1" si="2"/>
        <v>insert into assignments values ('GIJ010', 'MYZ010', 'Ms Harriet Temple', 'Labourer', 'Styling', 'Madrid', '05-Jul-2013', '20-Oct-2013', 'Winter Collection 2014', 4900);</v>
      </c>
    </row>
    <row r="12" spans="1:18" ht="18" customHeight="1" x14ac:dyDescent="0.25">
      <c r="A12" s="17" t="s">
        <v>4272</v>
      </c>
      <c r="B12" s="7" t="str">
        <f>Employees!A12</f>
        <v>MYZ011</v>
      </c>
      <c r="C12" s="13" t="str">
        <f ca="1">Employees!B12 &amp; " " &amp; Employees!C12 &amp; " " &amp; Employees!D12</f>
        <v>Ms Lavinia Rubic</v>
      </c>
      <c r="D12" s="13" t="str">
        <f ca="1">r_choice($L$4:$L$6)</f>
        <v>Manager</v>
      </c>
      <c r="E12" s="13" t="str">
        <f ca="1">r_choice($L$9:$L$12)</f>
        <v>Manufacturing</v>
      </c>
      <c r="F12" s="14" t="str">
        <f ca="1">r_choice($L$15:$L$21)</f>
        <v>Sydney</v>
      </c>
      <c r="G12" s="14">
        <f t="shared" ca="1" si="0"/>
        <v>42105</v>
      </c>
      <c r="H12" s="14">
        <f ca="1">IF(ISNUMBER(SEARCH(Summer,I12)),G12+r_integer(90,180),G12+r_integer(90,270))</f>
        <v>42359</v>
      </c>
      <c r="I12" s="23" t="str">
        <f ca="1">r_choice($N$4:$N$5)&amp;" Collection "&amp;r_choice($O$4:$O$6)</f>
        <v>Winter Collection 2016</v>
      </c>
      <c r="J12" s="24">
        <f t="shared" ca="1" si="1"/>
        <v>4300</v>
      </c>
      <c r="L12" s="7" t="s">
        <v>4113</v>
      </c>
      <c r="N12" s="11" t="s">
        <v>4257</v>
      </c>
      <c r="O12" s="7" t="s">
        <v>4119</v>
      </c>
      <c r="Q12" s="5" t="str">
        <f t="shared" ca="1" si="2"/>
        <v>insert into assignments values ('GIJ011', 'MYZ011', 'Ms Lavinia Rubic', 'Manager', 'Manufacturing', 'Sydney', '11-Apr-2015', '21-Dec-2015', 'Winter Collection 2016', 4300);</v>
      </c>
      <c r="R12" s="1"/>
    </row>
    <row r="13" spans="1:18" ht="18" customHeight="1" x14ac:dyDescent="0.25">
      <c r="A13" s="17" t="s">
        <v>4273</v>
      </c>
      <c r="B13" s="7" t="str">
        <f>Employees!A13</f>
        <v>MYZ012</v>
      </c>
      <c r="C13" s="13" t="str">
        <f ca="1">Employees!B13 &amp; " " &amp; Employees!C13 &amp; " " &amp; Employees!D13</f>
        <v>Mr Penny Donaldson</v>
      </c>
      <c r="D13" s="13" t="str">
        <f ca="1">r_choice($L$4:$L$6)</f>
        <v>Manager</v>
      </c>
      <c r="E13" s="13" t="str">
        <f ca="1">r_choice($L$9:$L$12)</f>
        <v>Promotion</v>
      </c>
      <c r="F13" s="14" t="str">
        <f ca="1">r_choice($L$15:$L$21)</f>
        <v>London</v>
      </c>
      <c r="G13" s="14">
        <f t="shared" ca="1" si="0"/>
        <v>41313</v>
      </c>
      <c r="H13" s="14">
        <f ca="1">IF(ISNUMBER(SEARCH(Summer,I13)),G13+r_integer(90,180),G13+r_integer(90,270))</f>
        <v>41475</v>
      </c>
      <c r="I13" s="23" t="str">
        <f ca="1">r_choice($N$4:$N$5)&amp;" Collection "&amp;r_choice($O$4:$O$6)</f>
        <v>Winter Collection 2014</v>
      </c>
      <c r="J13" s="24">
        <f t="shared" ca="1" si="1"/>
        <v>3600</v>
      </c>
      <c r="N13" s="11" t="s">
        <v>4258</v>
      </c>
      <c r="O13" s="7" t="s">
        <v>4119</v>
      </c>
      <c r="Q13" s="5" t="str">
        <f t="shared" ca="1" si="2"/>
        <v>insert into assignments values ('GIJ012', 'MYZ012', 'Mr Penny Donaldson', 'Manager', 'Promotion', 'London', '08-Feb-2013', '20-Jul-2013', 'Winter Collection 2014', 3600);</v>
      </c>
    </row>
    <row r="14" spans="1:18" ht="18" customHeight="1" x14ac:dyDescent="0.25">
      <c r="A14" s="17" t="s">
        <v>4274</v>
      </c>
      <c r="B14" s="7" t="str">
        <f>Employees!A14</f>
        <v>MYZ013</v>
      </c>
      <c r="C14" s="13" t="str">
        <f ca="1">Employees!B14 &amp; " " &amp; Employees!C14 &amp; " " &amp; Employees!D14</f>
        <v>Ms Karma Metz</v>
      </c>
      <c r="D14" s="13" t="str">
        <f ca="1">r_choice($L$4:$L$6)</f>
        <v>Assistant</v>
      </c>
      <c r="E14" s="13" t="str">
        <f ca="1">r_choice($L$9:$L$12)</f>
        <v>Manufacturing</v>
      </c>
      <c r="F14" s="14" t="str">
        <f ca="1">r_choice($L$15:$L$21)</f>
        <v>Madrid</v>
      </c>
      <c r="G14" s="14">
        <f t="shared" ca="1" si="0"/>
        <v>41375</v>
      </c>
      <c r="H14" s="14">
        <f ca="1">IF(ISNUMBER(SEARCH(Summer,I14)),G14+r_integer(90,180),G14+r_integer(90,270))</f>
        <v>41485</v>
      </c>
      <c r="I14" s="23" t="str">
        <f ca="1">r_choice($N$4:$N$5)&amp;" Collection "&amp;r_choice($O$4:$O$6)</f>
        <v>Summer Collection 2014</v>
      </c>
      <c r="J14" s="24">
        <f t="shared" ca="1" si="1"/>
        <v>3100</v>
      </c>
      <c r="L14" s="12" t="s">
        <v>4259</v>
      </c>
      <c r="N14" s="12" t="s">
        <v>4259</v>
      </c>
      <c r="O14" s="7" t="s">
        <v>4119</v>
      </c>
      <c r="Q14" s="5" t="str">
        <f t="shared" ca="1" si="2"/>
        <v>insert into assignments values ('GIJ013', 'MYZ013', 'Ms Karma Metz', 'Assistant', 'Manufacturing', 'Madrid', '11-Apr-2013', '30-Jul-2013', 'Summer Collection 2014', 3100);</v>
      </c>
    </row>
    <row r="15" spans="1:18" ht="18" customHeight="1" x14ac:dyDescent="0.25">
      <c r="A15" s="17" t="s">
        <v>4275</v>
      </c>
      <c r="B15" s="7" t="str">
        <f>Employees!A15</f>
        <v>MYZ014</v>
      </c>
      <c r="C15" s="13" t="str">
        <f ca="1">Employees!B15 &amp; " " &amp; Employees!C15 &amp; " " &amp; Employees!D15</f>
        <v>Mr Leora Newell</v>
      </c>
      <c r="D15" s="13" t="str">
        <f ca="1">r_choice($L$4:$L$6)</f>
        <v>Labourer</v>
      </c>
      <c r="E15" s="13" t="str">
        <f ca="1">r_choice($L$9:$L$12)</f>
        <v>Promotion</v>
      </c>
      <c r="F15" s="14" t="str">
        <f ca="1">r_choice($L$15:$L$21)</f>
        <v>Madrid</v>
      </c>
      <c r="G15" s="14">
        <f t="shared" ca="1" si="0"/>
        <v>41516</v>
      </c>
      <c r="H15" s="14">
        <f ca="1">IF(ISNUMBER(SEARCH(Summer,I15)),G15+r_integer(90,180),G15+r_integer(90,270))</f>
        <v>41614</v>
      </c>
      <c r="I15" s="23" t="str">
        <f ca="1">r_choice($N$4:$N$5)&amp;" Collection "&amp;r_choice($O$4:$O$6)</f>
        <v>Summer Collection 2014</v>
      </c>
      <c r="J15" s="24">
        <f t="shared" ca="1" si="1"/>
        <v>3700</v>
      </c>
      <c r="L15" s="7" t="s">
        <v>2810</v>
      </c>
      <c r="N15" s="12" t="s">
        <v>4304</v>
      </c>
      <c r="O15" s="7" t="s">
        <v>4120</v>
      </c>
      <c r="Q15" s="5" t="str">
        <f t="shared" ca="1" si="2"/>
        <v>insert into assignments values ('GIJ014', 'MYZ014', 'Mr Leora Newell', 'Labourer', 'Promotion', 'Madrid', '30-Aug-2013', '06-Dec-2013', 'Summer Collection 2014', 3700);</v>
      </c>
    </row>
    <row r="16" spans="1:18" ht="18" customHeight="1" x14ac:dyDescent="0.25">
      <c r="A16" s="17" t="s">
        <v>4276</v>
      </c>
      <c r="B16" s="7" t="str">
        <f>Employees!A16</f>
        <v>MYZ015</v>
      </c>
      <c r="C16" s="13" t="str">
        <f ca="1">Employees!B16 &amp; " " &amp; Employees!C16 &amp; " " &amp; Employees!D16</f>
        <v>Ms Jeane Penn</v>
      </c>
      <c r="D16" s="13" t="str">
        <f ca="1">r_choice($L$4:$L$6)</f>
        <v>Assistant</v>
      </c>
      <c r="E16" s="13" t="str">
        <f ca="1">r_choice($L$9:$L$12)</f>
        <v>Styling</v>
      </c>
      <c r="F16" s="14" t="str">
        <f ca="1">r_choice($L$15:$L$21)</f>
        <v>Sydney</v>
      </c>
      <c r="G16" s="14">
        <f t="shared" ca="1" si="0"/>
        <v>41498</v>
      </c>
      <c r="H16" s="14">
        <f ca="1">IF(ISNUMBER(SEARCH(Summer,I16)),G16+r_integer(90,180),G16+r_integer(90,270))</f>
        <v>41735</v>
      </c>
      <c r="I16" s="23" t="str">
        <f ca="1">r_choice($N$4:$N$5)&amp;" Collection "&amp;r_choice($O$4:$O$6)</f>
        <v>Winter Collection 2014</v>
      </c>
      <c r="J16" s="24">
        <f t="shared" ca="1" si="1"/>
        <v>4900</v>
      </c>
      <c r="L16" s="7" t="s">
        <v>2444</v>
      </c>
      <c r="N16" s="12" t="s">
        <v>4260</v>
      </c>
      <c r="O16" s="7" t="s">
        <v>4120</v>
      </c>
      <c r="Q16" s="5" t="str">
        <f t="shared" ca="1" si="2"/>
        <v>insert into assignments values ('GIJ015', 'MYZ015', 'Ms Jeane Penn', 'Assistant', 'Styling', 'Sydney', '12-Aug-2013', '06-Apr-2014', 'Winter Collection 2014', 4900);</v>
      </c>
    </row>
    <row r="17" spans="1:17" ht="18" customHeight="1" x14ac:dyDescent="0.25">
      <c r="A17" s="17" t="s">
        <v>4277</v>
      </c>
      <c r="B17" s="7" t="str">
        <f>Employees!A17</f>
        <v>MYZ016</v>
      </c>
      <c r="C17" s="13" t="str">
        <f ca="1">Employees!B17 &amp; " " &amp; Employees!C17 &amp; " " &amp; Employees!D17</f>
        <v>Mr Angele Sims</v>
      </c>
      <c r="D17" s="13" t="str">
        <f ca="1">r_choice($L$4:$L$6)</f>
        <v>Manager</v>
      </c>
      <c r="E17" s="13" t="str">
        <f ca="1">r_choice($L$9:$L$12)</f>
        <v>Manufacturing</v>
      </c>
      <c r="F17" s="14" t="str">
        <f ca="1">r_choice($L$15:$L$21)</f>
        <v>Madrid</v>
      </c>
      <c r="G17" s="14">
        <f t="shared" ca="1" si="0"/>
        <v>42145</v>
      </c>
      <c r="H17" s="14">
        <f ca="1">IF(ISNUMBER(SEARCH(Summer,I17)),G17+r_integer(90,180),G17+r_integer(90,270))</f>
        <v>42370</v>
      </c>
      <c r="I17" s="23" t="str">
        <f ca="1">r_choice($N$4:$N$5)&amp;" Collection "&amp;r_choice($O$4:$O$6)</f>
        <v>Winter Collection 2016</v>
      </c>
      <c r="J17" s="24">
        <f t="shared" ca="1" si="1"/>
        <v>2700</v>
      </c>
      <c r="L17" s="7" t="s">
        <v>4116</v>
      </c>
      <c r="N17" s="12" t="s">
        <v>4106</v>
      </c>
      <c r="O17" s="7" t="s">
        <v>4119</v>
      </c>
      <c r="Q17" s="5" t="str">
        <f t="shared" ca="1" si="2"/>
        <v>insert into assignments values ('GIJ016', 'MYZ016', 'Mr Angele Sims', 'Manager', 'Manufacturing', 'Madrid', '21-May-2015', '01-Jan-2016', 'Winter Collection 2016', 2700);</v>
      </c>
    </row>
    <row r="18" spans="1:17" ht="18" customHeight="1" x14ac:dyDescent="0.25">
      <c r="A18" s="17" t="s">
        <v>4278</v>
      </c>
      <c r="B18" s="7" t="str">
        <f>Employees!A18</f>
        <v>MYZ017</v>
      </c>
      <c r="C18" s="13" t="str">
        <f ca="1">Employees!B18 &amp; " " &amp; Employees!C18 &amp; " " &amp; Employees!D18</f>
        <v>Ms Lili Rodrigues</v>
      </c>
      <c r="D18" s="13" t="str">
        <f ca="1">r_choice($L$4:$L$6)</f>
        <v>Manager</v>
      </c>
      <c r="E18" s="13" t="str">
        <f ca="1">r_choice($L$9:$L$12)</f>
        <v>Manufacturing</v>
      </c>
      <c r="F18" s="14" t="str">
        <f ca="1">r_choice($L$15:$L$21)</f>
        <v>London</v>
      </c>
      <c r="G18" s="14">
        <f t="shared" ca="1" si="0"/>
        <v>41803</v>
      </c>
      <c r="H18" s="14">
        <f ca="1">IF(ISNUMBER(SEARCH(Summer,I18)),G18+r_integer(90,180),G18+r_integer(90,270))</f>
        <v>42006</v>
      </c>
      <c r="I18" s="23" t="str">
        <f ca="1">r_choice($N$4:$N$5)&amp;" Collection "&amp;r_choice($O$4:$O$6)</f>
        <v>Summer Collection 2015</v>
      </c>
      <c r="J18" s="24">
        <f t="shared" ca="1" si="1"/>
        <v>3300</v>
      </c>
      <c r="L18" s="7" t="s">
        <v>4302</v>
      </c>
      <c r="N18" s="20" t="s">
        <v>4261</v>
      </c>
      <c r="O18" s="7" t="s">
        <v>4121</v>
      </c>
      <c r="Q18" s="5" t="str">
        <f t="shared" ca="1" si="2"/>
        <v>insert into assignments values ('GIJ017', 'MYZ017', 'Ms Lili Rodrigues', 'Manager', 'Manufacturing', 'London', '13-Jun-2014', '02-Jan-2015', 'Summer Collection 2015', 3300);</v>
      </c>
    </row>
    <row r="19" spans="1:17" ht="18" customHeight="1" x14ac:dyDescent="0.25">
      <c r="A19" s="17" t="s">
        <v>4279</v>
      </c>
      <c r="B19" s="7" t="str">
        <f>Employees!A19</f>
        <v>MYZ018</v>
      </c>
      <c r="C19" s="13" t="str">
        <f ca="1">Employees!B19 &amp; " " &amp; Employees!C19 &amp; " " &amp; Employees!D19</f>
        <v>Mr Nelida Steward</v>
      </c>
      <c r="D19" s="13" t="str">
        <f ca="1">r_choice($L$4:$L$6)</f>
        <v>Manager</v>
      </c>
      <c r="E19" s="13" t="str">
        <f ca="1">r_choice($L$9:$L$12)</f>
        <v>Promotion</v>
      </c>
      <c r="F19" s="14" t="str">
        <f ca="1">r_choice($L$15:$L$21)</f>
        <v>London</v>
      </c>
      <c r="G19" s="14">
        <f t="shared" ca="1" si="0"/>
        <v>42010</v>
      </c>
      <c r="H19" s="14">
        <f ca="1">IF(ISNUMBER(SEARCH(Summer,I19)),G19+r_integer(90,180),G19+r_integer(90,270))</f>
        <v>42244</v>
      </c>
      <c r="I19" s="23" t="str">
        <f ca="1">r_choice($N$4:$N$5)&amp;" Collection "&amp;r_choice($O$4:$O$6)</f>
        <v>Winter Collection 2016</v>
      </c>
      <c r="J19" s="24">
        <f t="shared" ca="1" si="1"/>
        <v>4300</v>
      </c>
      <c r="L19" s="7" t="s">
        <v>4056</v>
      </c>
      <c r="Q19" s="5" t="str">
        <f t="shared" ca="1" si="2"/>
        <v>insert into assignments values ('GIJ018', 'MYZ018', 'Mr Nelida Steward', 'Manager', 'Promotion', 'London', '06-Jan-2015', '28-Aug-2015', 'Winter Collection 2016', 4300);</v>
      </c>
    </row>
    <row r="20" spans="1:17" ht="18" customHeight="1" x14ac:dyDescent="0.25">
      <c r="A20" s="17" t="s">
        <v>4280</v>
      </c>
      <c r="B20" s="7" t="str">
        <f>Employees!A20</f>
        <v>MYZ019</v>
      </c>
      <c r="C20" s="13" t="str">
        <f ca="1">Employees!B20 &amp; " " &amp; Employees!C20 &amp; " " &amp; Employees!D20</f>
        <v>Ms Laurinda Campos</v>
      </c>
      <c r="D20" s="13" t="str">
        <f ca="1">r_choice($L$4:$L$6)</f>
        <v>Assistant</v>
      </c>
      <c r="E20" s="13" t="str">
        <f ca="1">r_choice($L$9:$L$12)</f>
        <v>Manufacturing</v>
      </c>
      <c r="F20" s="14" t="str">
        <f ca="1">r_choice($L$15:$L$21)</f>
        <v>Seoul</v>
      </c>
      <c r="G20" s="14">
        <f t="shared" ca="1" si="0"/>
        <v>41712</v>
      </c>
      <c r="H20" s="14">
        <f ca="1">IF(ISNUMBER(SEARCH(Summer,I20)),G20+r_integer(90,180),G20+r_integer(90,270))</f>
        <v>41914</v>
      </c>
      <c r="I20" s="23" t="str">
        <f ca="1">r_choice($N$4:$N$5)&amp;" Collection "&amp;r_choice($O$4:$O$6)</f>
        <v>Summer Collection 2015</v>
      </c>
      <c r="J20" s="24">
        <f t="shared" ca="1" si="1"/>
        <v>2800</v>
      </c>
      <c r="L20" s="7" t="s">
        <v>4117</v>
      </c>
      <c r="Q20" s="5" t="str">
        <f t="shared" ca="1" si="2"/>
        <v>insert into assignments values ('GIJ019', 'MYZ019', 'Ms Laurinda Campos', 'Assistant', 'Manufacturing', 'Seoul', '14-Mar-2014', '02-Oct-2014', 'Summer Collection 2015', 2800);</v>
      </c>
    </row>
    <row r="21" spans="1:17" ht="18" customHeight="1" x14ac:dyDescent="0.25">
      <c r="A21" s="17" t="s">
        <v>4281</v>
      </c>
      <c r="B21" s="7" t="str">
        <f>Employees!A21</f>
        <v>MYZ020</v>
      </c>
      <c r="C21" s="13" t="str">
        <f ca="1">Employees!B21 &amp; " " &amp; Employees!C21 &amp; " " &amp; Employees!D21</f>
        <v>Mr Golden Schaefer</v>
      </c>
      <c r="D21" s="13" t="str">
        <f ca="1">r_choice($L$4:$L$6)</f>
        <v>Manager</v>
      </c>
      <c r="E21" s="13" t="str">
        <f ca="1">r_choice($L$9:$L$12)</f>
        <v>Styling</v>
      </c>
      <c r="F21" s="14" t="str">
        <f ca="1">r_choice($L$15:$L$21)</f>
        <v>New York</v>
      </c>
      <c r="G21" s="14">
        <f t="shared" ca="1" si="0"/>
        <v>41689</v>
      </c>
      <c r="H21" s="14">
        <f ca="1">IF(ISNUMBER(SEARCH(Summer,I21)),G21+r_integer(90,180),G21+r_integer(90,270))</f>
        <v>41888</v>
      </c>
      <c r="I21" s="23" t="str">
        <f ca="1">r_choice($N$4:$N$5)&amp;" Collection "&amp;r_choice($O$4:$O$6)</f>
        <v>Winter Collection 2015</v>
      </c>
      <c r="J21" s="24">
        <f t="shared" ca="1" si="1"/>
        <v>2600</v>
      </c>
      <c r="L21" s="7" t="s">
        <v>4118</v>
      </c>
      <c r="Q21" s="5" t="str">
        <f t="shared" ca="1" si="2"/>
        <v>insert into assignments values ('GIJ020', 'MYZ020', 'Mr Golden Schaefer', 'Manager', 'Styling', 'New York', '19-Feb-2014', '06-Sep-2014', 'Winter Collection 2015', 2600);</v>
      </c>
    </row>
    <row r="22" spans="1:17" ht="18" customHeight="1" x14ac:dyDescent="0.25">
      <c r="A22" s="17" t="s">
        <v>4282</v>
      </c>
      <c r="B22" s="7" t="str">
        <f>Employees!A22</f>
        <v>MYZ021</v>
      </c>
      <c r="C22" s="13" t="str">
        <f ca="1">Employees!B22 &amp; " " &amp; Employees!C22 &amp; " " &amp; Employees!D22</f>
        <v>Mr Tori Roth</v>
      </c>
      <c r="D22" s="13" t="str">
        <f ca="1">r_choice($L$4:$L$6)</f>
        <v>Assistant</v>
      </c>
      <c r="E22" s="13" t="str">
        <f ca="1">r_choice($L$9:$L$12)</f>
        <v>Manufacturing</v>
      </c>
      <c r="F22" s="14" t="str">
        <f ca="1">r_choice($L$15:$L$21)</f>
        <v>Sydney</v>
      </c>
      <c r="G22" s="14">
        <f t="shared" ca="1" si="0"/>
        <v>41338</v>
      </c>
      <c r="H22" s="14">
        <f ca="1">IF(ISNUMBER(SEARCH(Summer,I22)),G22+r_integer(90,180),G22+r_integer(90,270))</f>
        <v>41474</v>
      </c>
      <c r="I22" s="23" t="str">
        <f ca="1">r_choice($N$4:$N$5)&amp;" Collection "&amp;r_choice($O$4:$O$6)</f>
        <v>Winter Collection 2014</v>
      </c>
      <c r="J22" s="24">
        <f t="shared" ca="1" si="1"/>
        <v>3500</v>
      </c>
      <c r="N22" s="1"/>
      <c r="Q22" s="5" t="str">
        <f t="shared" ca="1" si="2"/>
        <v>insert into assignments values ('GIJ021', 'MYZ021', 'Mr Tori Roth', 'Assistant', 'Manufacturing', 'Sydney', '05-Mar-2013', '19-Jul-2013', 'Winter Collection 2014', 3500);</v>
      </c>
    </row>
    <row r="23" spans="1:17" ht="18" customHeight="1" x14ac:dyDescent="0.25">
      <c r="A23" s="17" t="s">
        <v>4283</v>
      </c>
      <c r="B23" s="7" t="str">
        <f>Employees!A23</f>
        <v>MYZ022</v>
      </c>
      <c r="C23" s="13" t="str">
        <f ca="1">Employees!B23 &amp; " " &amp; Employees!C23 &amp; " " &amp; Employees!D23</f>
        <v>Mr Kiyoko Spicer</v>
      </c>
      <c r="D23" s="13" t="str">
        <f ca="1">r_choice($L$4:$L$6)</f>
        <v>Labourer</v>
      </c>
      <c r="E23" s="13" t="str">
        <f ca="1">r_choice($L$9:$L$12)</f>
        <v>Design</v>
      </c>
      <c r="F23" s="14" t="str">
        <f ca="1">r_choice($L$15:$L$21)</f>
        <v>Seoul</v>
      </c>
      <c r="G23" s="14">
        <f t="shared" ca="1" si="0"/>
        <v>42023</v>
      </c>
      <c r="H23" s="14">
        <f ca="1">IF(ISNUMBER(SEARCH(Summer,I23)),G23+r_integer(90,180),G23+r_integer(90,270))</f>
        <v>42264</v>
      </c>
      <c r="I23" s="23" t="str">
        <f ca="1">r_choice($N$4:$N$5)&amp;" Collection "&amp;r_choice($O$4:$O$6)</f>
        <v>Winter Collection 2016</v>
      </c>
      <c r="J23" s="24">
        <f t="shared" ca="1" si="1"/>
        <v>5000</v>
      </c>
      <c r="Q23" s="5" t="str">
        <f t="shared" ca="1" si="2"/>
        <v>insert into assignments values ('GIJ022', 'MYZ022', 'Mr Kiyoko Spicer', 'Labourer', 'Design', 'Seoul', '19-Jan-2015', '17-Sep-2015', 'Winter Collection 2016', 5000);</v>
      </c>
    </row>
    <row r="24" spans="1:17" ht="18" customHeight="1" x14ac:dyDescent="0.25">
      <c r="A24" s="17" t="s">
        <v>4284</v>
      </c>
      <c r="B24" s="7" t="str">
        <f>Employees!A24</f>
        <v>MYZ023</v>
      </c>
      <c r="C24" s="13" t="str">
        <f ca="1">Employees!B24 &amp; " " &amp; Employees!C24 &amp; " " &amp; Employees!D24</f>
        <v>Ms Daniela Meyer</v>
      </c>
      <c r="D24" s="13" t="str">
        <f ca="1">r_choice($L$4:$L$6)</f>
        <v>Manager</v>
      </c>
      <c r="E24" s="13" t="str">
        <f ca="1">r_choice($L$9:$L$12)</f>
        <v>Styling</v>
      </c>
      <c r="F24" s="14" t="str">
        <f ca="1">r_choice($L$15:$L$21)</f>
        <v>Tokyo</v>
      </c>
      <c r="G24" s="14">
        <f t="shared" ca="1" si="0"/>
        <v>41419</v>
      </c>
      <c r="H24" s="14">
        <f ca="1">IF(ISNUMBER(SEARCH(Summer,I24)),G24+r_integer(90,180),G24+r_integer(90,270))</f>
        <v>41543</v>
      </c>
      <c r="I24" s="23" t="str">
        <f ca="1">r_choice($N$4:$N$5)&amp;" Collection "&amp;r_choice($O$4:$O$6)</f>
        <v>Summer Collection 2014</v>
      </c>
      <c r="J24" s="24">
        <f t="shared" ca="1" si="1"/>
        <v>4100</v>
      </c>
      <c r="Q24" s="5" t="str">
        <f t="shared" ca="1" si="2"/>
        <v>insert into assignments values ('GIJ023', 'MYZ023', 'Ms Daniela Meyer', 'Manager', 'Styling', 'Tokyo', '25-May-2013', '26-Sep-2013', 'Summer Collection 2014', 4100);</v>
      </c>
    </row>
    <row r="25" spans="1:17" ht="18" customHeight="1" x14ac:dyDescent="0.25">
      <c r="A25" s="17" t="s">
        <v>4285</v>
      </c>
      <c r="B25" s="7" t="str">
        <f>Employees!A25</f>
        <v>MYZ024</v>
      </c>
      <c r="C25" s="13" t="str">
        <f ca="1">Employees!B25 &amp; " " &amp; Employees!C25 &amp; " " &amp; Employees!D25</f>
        <v>Ms Karyl Ball</v>
      </c>
      <c r="D25" s="13" t="str">
        <f ca="1">r_choice($L$4:$L$6)</f>
        <v>Assistant</v>
      </c>
      <c r="E25" s="13" t="str">
        <f ca="1">r_choice($L$9:$L$12)</f>
        <v>Promotion</v>
      </c>
      <c r="F25" s="14" t="str">
        <f ca="1">r_choice($L$15:$L$21)</f>
        <v>Paris</v>
      </c>
      <c r="G25" s="14">
        <f t="shared" ca="1" si="0"/>
        <v>41433</v>
      </c>
      <c r="H25" s="14">
        <f ca="1">IF(ISNUMBER(SEARCH(Summer,I25)),G25+r_integer(90,180),G25+r_integer(90,270))</f>
        <v>41550</v>
      </c>
      <c r="I25" s="23" t="str">
        <f ca="1">r_choice($N$4:$N$5)&amp;" Collection "&amp;r_choice($O$4:$O$6)</f>
        <v>Winter Collection 2014</v>
      </c>
      <c r="J25" s="24">
        <f t="shared" ca="1" si="1"/>
        <v>3300</v>
      </c>
      <c r="Q25" s="5" t="str">
        <f t="shared" ca="1" si="2"/>
        <v>insert into assignments values ('GIJ024', 'MYZ024', 'Ms Karyl Ball', 'Assistant', 'Promotion', 'Paris', '08-Jun-2013', '03-Oct-2013', 'Winter Collection 2014', 3300);</v>
      </c>
    </row>
    <row r="26" spans="1:17" ht="18" customHeight="1" x14ac:dyDescent="0.25">
      <c r="A26" s="17" t="s">
        <v>4286</v>
      </c>
      <c r="B26" s="7" t="str">
        <f>Employees!A26</f>
        <v>MYZ025</v>
      </c>
      <c r="C26" s="13" t="str">
        <f ca="1">Employees!B26 &amp; " " &amp; Employees!C26 &amp; " " &amp; Employees!D26</f>
        <v>Mr Matha Beeson</v>
      </c>
      <c r="D26" s="13" t="str">
        <f ca="1">r_choice($L$4:$L$6)</f>
        <v>Manager</v>
      </c>
      <c r="E26" s="13" t="str">
        <f ca="1">r_choice($L$9:$L$12)</f>
        <v>Promotion</v>
      </c>
      <c r="F26" s="14" t="str">
        <f ca="1">r_choice($L$15:$L$21)</f>
        <v>Sydney</v>
      </c>
      <c r="G26" s="14">
        <f t="shared" ca="1" si="0"/>
        <v>41753</v>
      </c>
      <c r="H26" s="14">
        <f ca="1">IF(ISNUMBER(SEARCH(Summer,I26)),G26+r_integer(90,180),G26+r_integer(90,270))</f>
        <v>41901</v>
      </c>
      <c r="I26" s="23" t="str">
        <f ca="1">r_choice($N$4:$N$5)&amp;" Collection "&amp;r_choice($O$4:$O$6)</f>
        <v>Summer Collection 2015</v>
      </c>
      <c r="J26" s="24">
        <f t="shared" ca="1" si="1"/>
        <v>4900</v>
      </c>
      <c r="Q26" s="5" t="str">
        <f t="shared" ca="1" si="2"/>
        <v>insert into assignments values ('GIJ025', 'MYZ025', 'Mr Matha Beeson', 'Manager', 'Promotion', 'Sydney', '24-Apr-2014', '19-Sep-2014', 'Summer Collection 2015', 4900);</v>
      </c>
    </row>
    <row r="27" spans="1:17" ht="18" customHeight="1" x14ac:dyDescent="0.25">
      <c r="A27" s="17" t="s">
        <v>4287</v>
      </c>
      <c r="B27" s="7" t="str">
        <f>Employees!A27</f>
        <v>MYZ026</v>
      </c>
      <c r="C27" s="13" t="str">
        <f ca="1">Employees!B27 &amp; " " &amp; Employees!C27 &amp; " " &amp; Employees!D27</f>
        <v>Ms Yaeko Buckley</v>
      </c>
      <c r="D27" s="13" t="str">
        <f ca="1">r_choice($L$4:$L$6)</f>
        <v>Assistant</v>
      </c>
      <c r="E27" s="13" t="str">
        <f ca="1">r_choice($L$9:$L$12)</f>
        <v>Design</v>
      </c>
      <c r="F27" s="14" t="str">
        <f ca="1">r_choice($L$15:$L$21)</f>
        <v>New York</v>
      </c>
      <c r="G27" s="14">
        <f t="shared" ca="1" si="0"/>
        <v>42043</v>
      </c>
      <c r="H27" s="14">
        <f ca="1">IF(ISNUMBER(SEARCH(Summer,I27)),G27+r_integer(90,180),G27+r_integer(90,270))</f>
        <v>42162</v>
      </c>
      <c r="I27" s="23" t="str">
        <f ca="1">r_choice($N$4:$N$5)&amp;" Collection "&amp;r_choice($O$4:$O$6)</f>
        <v>Summer Collection 2016</v>
      </c>
      <c r="J27" s="24">
        <f t="shared" ca="1" si="1"/>
        <v>3000</v>
      </c>
      <c r="Q27" s="5" t="str">
        <f t="shared" ca="1" si="2"/>
        <v>insert into assignments values ('GIJ026', 'MYZ026', 'Ms Yaeko Buckley', 'Assistant', 'Design', 'New York', '08-Feb-2015', '07-Jun-2015', 'Summer Collection 2016', 3000);</v>
      </c>
    </row>
    <row r="28" spans="1:17" ht="18" customHeight="1" x14ac:dyDescent="0.25">
      <c r="A28" s="17" t="s">
        <v>4288</v>
      </c>
      <c r="B28" s="7" t="str">
        <f>Employees!A28</f>
        <v>MYZ027</v>
      </c>
      <c r="C28" s="13" t="str">
        <f ca="1">Employees!B28 &amp; " " &amp; Employees!C28 &amp; " " &amp; Employees!D28</f>
        <v>Ms Constance Versace</v>
      </c>
      <c r="D28" s="13" t="str">
        <f ca="1">r_choice($L$4:$L$6)</f>
        <v>Assistant</v>
      </c>
      <c r="E28" s="13" t="str">
        <f ca="1">r_choice($L$9:$L$12)</f>
        <v>Design</v>
      </c>
      <c r="F28" s="14" t="str">
        <f ca="1">r_choice($L$15:$L$21)</f>
        <v>Seoul</v>
      </c>
      <c r="G28" s="14">
        <f t="shared" ca="1" si="0"/>
        <v>41712</v>
      </c>
      <c r="H28" s="14">
        <f ca="1">IF(ISNUMBER(SEARCH(Summer,I28)),G28+r_integer(90,180),G28+r_integer(90,270))</f>
        <v>41980</v>
      </c>
      <c r="I28" s="23" t="str">
        <f ca="1">r_choice($N$4:$N$5)&amp;" Collection "&amp;r_choice($O$4:$O$6)</f>
        <v>Winter Collection 2015</v>
      </c>
      <c r="J28" s="24">
        <f t="shared" ca="1" si="1"/>
        <v>4300</v>
      </c>
      <c r="Q28" s="5" t="str">
        <f t="shared" ca="1" si="2"/>
        <v>insert into assignments values ('GIJ027', 'MYZ027', 'Ms Constance Versace', 'Assistant', 'Design', 'Seoul', '14-Mar-2014', '07-Dec-2014', 'Winter Collection 2015', 4300);</v>
      </c>
    </row>
    <row r="29" spans="1:17" ht="18" customHeight="1" x14ac:dyDescent="0.25">
      <c r="A29" s="17" t="s">
        <v>4289</v>
      </c>
      <c r="B29" s="7" t="str">
        <f>Employees!A29</f>
        <v>MYZ028</v>
      </c>
      <c r="C29" s="13" t="str">
        <f ca="1">Employees!B29 &amp; " " &amp; Employees!C29 &amp; " " &amp; Employees!D29</f>
        <v>Ms Philippa Hollingsworth</v>
      </c>
      <c r="D29" s="13" t="str">
        <f ca="1">r_choice($L$4:$L$6)</f>
        <v>Manager</v>
      </c>
      <c r="E29" s="13" t="str">
        <f ca="1">r_choice($L$9:$L$12)</f>
        <v>Promotion</v>
      </c>
      <c r="F29" s="14" t="str">
        <f ca="1">r_choice($L$15:$L$21)</f>
        <v>Tokyo</v>
      </c>
      <c r="G29" s="14">
        <f t="shared" ca="1" si="0"/>
        <v>41485</v>
      </c>
      <c r="H29" s="14">
        <f ca="1">IF(ISNUMBER(SEARCH(Summer,I29)),G29+r_integer(90,180),G29+r_integer(90,270))</f>
        <v>41631</v>
      </c>
      <c r="I29" s="23" t="str">
        <f ca="1">r_choice($N$4:$N$5)&amp;" Collection "&amp;r_choice($O$4:$O$6)</f>
        <v>Winter Collection 2014</v>
      </c>
      <c r="J29" s="24">
        <f t="shared" ca="1" si="1"/>
        <v>4700</v>
      </c>
      <c r="Q29" s="5" t="str">
        <f t="shared" ca="1" si="2"/>
        <v>insert into assignments values ('GIJ028', 'MYZ028', 'Ms Philippa Hollingsworth', 'Manager', 'Promotion', 'Tokyo', '30-Jul-2013', '23-Dec-2013', 'Winter Collection 2014', 4700);</v>
      </c>
    </row>
    <row r="30" spans="1:17" ht="18" customHeight="1" x14ac:dyDescent="0.25">
      <c r="A30" s="17" t="s">
        <v>4290</v>
      </c>
      <c r="B30" s="7" t="str">
        <f>Employees!A30</f>
        <v>MYZ029</v>
      </c>
      <c r="C30" s="13" t="str">
        <f ca="1">Employees!B30 &amp; " " &amp; Employees!C30 &amp; " " &amp; Employees!D30</f>
        <v>Mr Rachael Long</v>
      </c>
      <c r="D30" s="13" t="str">
        <f ca="1">r_choice($L$4:$L$6)</f>
        <v>Labourer</v>
      </c>
      <c r="E30" s="13" t="str">
        <f ca="1">r_choice($L$9:$L$12)</f>
        <v>Design</v>
      </c>
      <c r="F30" s="14" t="str">
        <f ca="1">r_choice($L$15:$L$21)</f>
        <v>London</v>
      </c>
      <c r="G30" s="14">
        <f t="shared" ca="1" si="0"/>
        <v>42011</v>
      </c>
      <c r="H30" s="14">
        <f ca="1">IF(ISNUMBER(SEARCH(Summer,I30)),G30+r_integer(90,180),G30+r_integer(90,270))</f>
        <v>42200</v>
      </c>
      <c r="I30" s="23" t="str">
        <f ca="1">r_choice($N$4:$N$5)&amp;" Collection "&amp;r_choice($O$4:$O$6)</f>
        <v>Summer Collection 2016</v>
      </c>
      <c r="J30" s="24">
        <f t="shared" ca="1" si="1"/>
        <v>3600</v>
      </c>
      <c r="Q30" s="5" t="str">
        <f t="shared" ca="1" si="2"/>
        <v>insert into assignments values ('GIJ029', 'MYZ029', 'Mr Rachael Long', 'Labourer', 'Design', 'London', '07-Jan-2015', '15-Jul-2015', 'Summer Collection 2016', 3600);</v>
      </c>
    </row>
    <row r="31" spans="1:17" ht="18" customHeight="1" x14ac:dyDescent="0.25">
      <c r="A31" s="17" t="s">
        <v>4291</v>
      </c>
      <c r="B31" s="7" t="str">
        <f>Employees!A31</f>
        <v>MYZ030</v>
      </c>
      <c r="C31" s="13" t="str">
        <f ca="1">Employees!B31 &amp; " " &amp; Employees!C31 &amp; " " &amp; Employees!D31</f>
        <v>Ms Verenice Kaufman</v>
      </c>
      <c r="D31" s="13" t="str">
        <f ca="1">r_choice($L$4:$L$6)</f>
        <v>Assistant</v>
      </c>
      <c r="E31" s="13" t="str">
        <f ca="1">r_choice($L$9:$L$12)</f>
        <v>Promotion</v>
      </c>
      <c r="F31" s="14" t="str">
        <f ca="1">r_choice($L$15:$L$21)</f>
        <v>Seoul</v>
      </c>
      <c r="G31" s="14">
        <f t="shared" ca="1" si="0"/>
        <v>41535</v>
      </c>
      <c r="H31" s="14">
        <f ca="1">IF(ISNUMBER(SEARCH(Summer,I31)),G31+r_integer(90,180),G31+r_integer(90,270))</f>
        <v>41722</v>
      </c>
      <c r="I31" s="23" t="str">
        <f ca="1">r_choice($N$4:$N$5)&amp;" Collection "&amp;r_choice($O$4:$O$6)</f>
        <v>Summer Collection 2014</v>
      </c>
      <c r="J31" s="24">
        <f t="shared" ca="1" si="1"/>
        <v>3300</v>
      </c>
      <c r="Q31" s="5" t="str">
        <f t="shared" ca="1" si="2"/>
        <v>insert into assignments values ('GIJ030', 'MYZ030', 'Ms Verenice Kaufman', 'Assistant', 'Promotion', 'Seoul', '18-Sep-2013', '24-Mar-2014', 'Summer Collection 2014', 3300);</v>
      </c>
    </row>
    <row r="32" spans="1:17" ht="18" customHeight="1" x14ac:dyDescent="0.25">
      <c r="A32" s="17" t="s">
        <v>4292</v>
      </c>
      <c r="B32" s="7" t="str">
        <f>Employees!A32</f>
        <v>MYZ031</v>
      </c>
      <c r="C32" s="13" t="str">
        <f ca="1">Employees!B32 &amp; " " &amp; Employees!C32 &amp; " " &amp; Employees!D32</f>
        <v>Ms Paulette Rossini</v>
      </c>
      <c r="D32" s="13" t="str">
        <f ca="1">r_choice($L$4:$L$6)</f>
        <v>Assistant</v>
      </c>
      <c r="E32" s="13" t="str">
        <f ca="1">r_choice($L$9:$L$12)</f>
        <v>Design</v>
      </c>
      <c r="F32" s="14" t="str">
        <f ca="1">r_choice($L$15:$L$21)</f>
        <v>Paris</v>
      </c>
      <c r="G32" s="14">
        <f t="shared" ca="1" si="0"/>
        <v>42274</v>
      </c>
      <c r="H32" s="14">
        <f ca="1">IF(ISNUMBER(SEARCH(Summer,I32)),G32+r_integer(90,180),G32+r_integer(90,270))</f>
        <v>42462</v>
      </c>
      <c r="I32" s="23" t="str">
        <f ca="1">r_choice($N$4:$N$5)&amp;" Collection "&amp;r_choice($O$4:$O$6)</f>
        <v>Winter Collection 2016</v>
      </c>
      <c r="J32" s="24">
        <f t="shared" ca="1" si="1"/>
        <v>3400</v>
      </c>
      <c r="Q32" s="5" t="str">
        <f t="shared" ca="1" si="2"/>
        <v>insert into assignments values ('GIJ031', 'MYZ031', 'Ms Paulette Rossini', 'Assistant', 'Design', 'Paris', '27-Sep-2015', '02-Apr-2016', 'Winter Collection 2016', 3400);</v>
      </c>
    </row>
    <row r="33" spans="1:17" ht="18" customHeight="1" x14ac:dyDescent="0.25">
      <c r="A33" s="17" t="s">
        <v>4293</v>
      </c>
      <c r="B33" s="7" t="str">
        <f>Employees!A33</f>
        <v>MYZ032</v>
      </c>
      <c r="C33" s="13" t="str">
        <f ca="1">Employees!B33 &amp; " " &amp; Employees!C33 &amp; " " &amp; Employees!D33</f>
        <v>Ms Tamra Chin</v>
      </c>
      <c r="D33" s="13" t="str">
        <f ca="1">r_choice($L$4:$L$6)</f>
        <v>Assistant</v>
      </c>
      <c r="E33" s="13" t="str">
        <f ca="1">r_choice($L$9:$L$12)</f>
        <v>Design</v>
      </c>
      <c r="F33" s="14" t="str">
        <f ca="1">r_choice($L$15:$L$21)</f>
        <v>New York</v>
      </c>
      <c r="G33" s="14">
        <f t="shared" ca="1" si="0"/>
        <v>41282</v>
      </c>
      <c r="H33" s="14">
        <f ca="1">IF(ISNUMBER(SEARCH(Summer,I33)),G33+r_integer(90,180),G33+r_integer(90,270))</f>
        <v>41459</v>
      </c>
      <c r="I33" s="23" t="str">
        <f ca="1">r_choice($N$4:$N$5)&amp;" Collection "&amp;r_choice($O$4:$O$6)</f>
        <v>Summer Collection 2014</v>
      </c>
      <c r="J33" s="24">
        <f t="shared" ca="1" si="1"/>
        <v>4600</v>
      </c>
      <c r="Q33" s="5" t="str">
        <f t="shared" ca="1" si="2"/>
        <v>insert into assignments values ('GIJ032', 'MYZ032', 'Ms Tamra Chin', 'Assistant', 'Design', 'New York', '08-Jan-2013', '04-Jul-2013', 'Summer Collection 2014', 4600);</v>
      </c>
    </row>
    <row r="34" spans="1:17" ht="18" customHeight="1" x14ac:dyDescent="0.25">
      <c r="A34" s="17" t="s">
        <v>4294</v>
      </c>
      <c r="B34" s="7" t="str">
        <f>Employees!A34</f>
        <v>MYZ033</v>
      </c>
      <c r="C34" s="13" t="str">
        <f ca="1">Employees!B34 &amp; " " &amp; Employees!C34 &amp; " " &amp; Employees!D34</f>
        <v>Mr Iva Chopin</v>
      </c>
      <c r="D34" s="13" t="str">
        <f ca="1">r_choice($L$4:$L$6)</f>
        <v>Manager</v>
      </c>
      <c r="E34" s="13" t="str">
        <f ca="1">r_choice($L$9:$L$12)</f>
        <v>Manufacturing</v>
      </c>
      <c r="F34" s="14" t="str">
        <f ca="1">r_choice($L$15:$L$21)</f>
        <v>Seoul</v>
      </c>
      <c r="G34" s="14">
        <f t="shared" ca="1" si="0"/>
        <v>42140</v>
      </c>
      <c r="H34" s="14">
        <f ca="1">IF(ISNUMBER(SEARCH(Summer,I34)),G34+r_integer(90,180),G34+r_integer(90,270))</f>
        <v>42338</v>
      </c>
      <c r="I34" s="23" t="str">
        <f ca="1">r_choice($N$4:$N$5)&amp;" Collection "&amp;r_choice($O$4:$O$6)</f>
        <v>Summer Collection 2016</v>
      </c>
      <c r="J34" s="24">
        <f t="shared" ca="1" si="1"/>
        <v>2500</v>
      </c>
      <c r="Q34" s="5" t="str">
        <f t="shared" ca="1" si="2"/>
        <v>insert into assignments values ('GIJ033', 'MYZ033', 'Mr Iva Chopin', 'Manager', 'Manufacturing', 'Seoul', '16-May-2015', '30-Nov-2015', 'Summer Collection 2016', 2500);</v>
      </c>
    </row>
    <row r="35" spans="1:17" ht="18" customHeight="1" x14ac:dyDescent="0.25">
      <c r="A35" s="17" t="s">
        <v>4295</v>
      </c>
      <c r="B35" s="7" t="str">
        <f>Employees!A35</f>
        <v>MYZ034</v>
      </c>
      <c r="C35" s="13" t="str">
        <f ca="1">Employees!B35 &amp; " " &amp; Employees!C35 &amp; " " &amp; Employees!D35</f>
        <v>Ms Veda Carey</v>
      </c>
      <c r="D35" s="13" t="str">
        <f ca="1">r_choice($L$4:$L$6)</f>
        <v>Assistant</v>
      </c>
      <c r="E35" s="13" t="str">
        <f ca="1">r_choice($L$9:$L$12)</f>
        <v>Manufacturing</v>
      </c>
      <c r="F35" s="14" t="str">
        <f ca="1">r_choice($L$15:$L$21)</f>
        <v>Sydney</v>
      </c>
      <c r="G35" s="14">
        <f t="shared" ca="1" si="0"/>
        <v>41389</v>
      </c>
      <c r="H35" s="14">
        <f ca="1">IF(ISNUMBER(SEARCH(Summer,I35)),G35+r_integer(90,180),G35+r_integer(90,270))</f>
        <v>41652</v>
      </c>
      <c r="I35" s="23" t="str">
        <f ca="1">r_choice($N$4:$N$5)&amp;" Collection "&amp;r_choice($O$4:$O$6)</f>
        <v>Winter Collection 2014</v>
      </c>
      <c r="J35" s="24">
        <f t="shared" ca="1" si="1"/>
        <v>3400</v>
      </c>
      <c r="Q35" s="5" t="str">
        <f t="shared" ca="1" si="2"/>
        <v>insert into assignments values ('GIJ034', 'MYZ034', 'Ms Veda Carey', 'Assistant', 'Manufacturing', 'Sydney', '25-Apr-2013', '13-Jan-2014', 'Winter Collection 2014', 3400);</v>
      </c>
    </row>
    <row r="36" spans="1:17" ht="18" customHeight="1" x14ac:dyDescent="0.25">
      <c r="A36" s="17" t="s">
        <v>4296</v>
      </c>
      <c r="B36" s="7" t="str">
        <f>Employees!A36</f>
        <v>MYZ035</v>
      </c>
      <c r="C36" s="13" t="str">
        <f ca="1">Employees!B36 &amp; " " &amp; Employees!C36 &amp; " " &amp; Employees!D36</f>
        <v>Mr Avis Page</v>
      </c>
      <c r="D36" s="13" t="str">
        <f ca="1">r_choice($L$4:$L$6)</f>
        <v>Manager</v>
      </c>
      <c r="E36" s="13" t="str">
        <f ca="1">r_choice($L$9:$L$12)</f>
        <v>Styling</v>
      </c>
      <c r="F36" s="14" t="str">
        <f ca="1">r_choice($L$15:$L$21)</f>
        <v>Tokyo</v>
      </c>
      <c r="G36" s="14">
        <f t="shared" ca="1" si="0"/>
        <v>42176</v>
      </c>
      <c r="H36" s="14">
        <f ca="1">IF(ISNUMBER(SEARCH(Summer,I36)),G36+r_integer(90,180),G36+r_integer(90,270))</f>
        <v>42316</v>
      </c>
      <c r="I36" s="23" t="str">
        <f ca="1">r_choice($N$4:$N$5)&amp;" Collection "&amp;r_choice($O$4:$O$6)</f>
        <v>Winter Collection 2016</v>
      </c>
      <c r="J36" s="24">
        <f t="shared" ca="1" si="1"/>
        <v>3700</v>
      </c>
      <c r="Q36" s="5" t="str">
        <f t="shared" ca="1" si="2"/>
        <v>insert into assignments values ('GIJ035', 'MYZ035', 'Mr Avis Page', 'Manager', 'Styling', 'Tokyo', '21-Jun-2015', '08-Nov-2015', 'Winter Collection 2016', 3700);</v>
      </c>
    </row>
    <row r="37" spans="1:17" ht="18" customHeight="1" x14ac:dyDescent="0.25">
      <c r="A37" s="17" t="s">
        <v>4297</v>
      </c>
      <c r="B37" s="7" t="str">
        <f>Employees!A37</f>
        <v>MYZ036</v>
      </c>
      <c r="C37" s="13" t="str">
        <f ca="1">Employees!B37 &amp; " " &amp; Employees!C37 &amp; " " &amp; Employees!D37</f>
        <v>Ms Glenda Swanson</v>
      </c>
      <c r="D37" s="13" t="str">
        <f ca="1">r_choice($L$4:$L$6)</f>
        <v>Manager</v>
      </c>
      <c r="E37" s="13" t="str">
        <f ca="1">r_choice($L$9:$L$12)</f>
        <v>Promotion</v>
      </c>
      <c r="F37" s="14" t="str">
        <f ca="1">r_choice($L$15:$L$21)</f>
        <v>Sydney</v>
      </c>
      <c r="G37" s="14">
        <f t="shared" ca="1" si="0"/>
        <v>41482</v>
      </c>
      <c r="H37" s="14">
        <f ca="1">IF(ISNUMBER(SEARCH(Summer,I37)),G37+r_integer(90,180),G37+r_integer(90,270))</f>
        <v>41605</v>
      </c>
      <c r="I37" s="23" t="str">
        <f ca="1">r_choice($N$4:$N$5)&amp;" Collection "&amp;r_choice($O$4:$O$6)</f>
        <v>Summer Collection 2014</v>
      </c>
      <c r="J37" s="24">
        <f t="shared" ca="1" si="1"/>
        <v>4600</v>
      </c>
      <c r="Q37" s="5" t="str">
        <f t="shared" ca="1" si="2"/>
        <v>insert into assignments values ('GIJ036', 'MYZ036', 'Ms Glenda Swanson', 'Manager', 'Promotion', 'Sydney', '27-Jul-2013', '27-Nov-2013', 'Summer Collection 2014', 4600);</v>
      </c>
    </row>
    <row r="38" spans="1:17" ht="18" customHeight="1" x14ac:dyDescent="0.25">
      <c r="A38" s="17" t="s">
        <v>4298</v>
      </c>
      <c r="B38" s="7" t="str">
        <f>Employees!A38</f>
        <v>MYZ037</v>
      </c>
      <c r="C38" s="13" t="str">
        <f ca="1">Employees!B38 &amp; " " &amp; Employees!C38 &amp; " " &amp; Employees!D38</f>
        <v>Mr Adrien Szabo</v>
      </c>
      <c r="D38" s="13" t="str">
        <f ca="1">r_choice($L$4:$L$6)</f>
        <v>Labourer</v>
      </c>
      <c r="E38" s="13" t="str">
        <f ca="1">r_choice($L$9:$L$12)</f>
        <v>Promotion</v>
      </c>
      <c r="F38" s="14" t="str">
        <f ca="1">r_choice($L$15:$L$21)</f>
        <v>Seoul</v>
      </c>
      <c r="G38" s="14">
        <f t="shared" ca="1" si="0"/>
        <v>41794</v>
      </c>
      <c r="H38" s="14">
        <f ca="1">IF(ISNUMBER(SEARCH(Summer,I38)),G38+r_integer(90,180),G38+r_integer(90,270))</f>
        <v>42051</v>
      </c>
      <c r="I38" s="23" t="str">
        <f ca="1">r_choice($N$4:$N$5)&amp;" Collection "&amp;r_choice($O$4:$O$6)</f>
        <v>Winter Collection 2015</v>
      </c>
      <c r="J38" s="24">
        <f t="shared" ca="1" si="1"/>
        <v>4300</v>
      </c>
      <c r="Q38" s="5" t="str">
        <f t="shared" ca="1" si="2"/>
        <v>insert into assignments values ('GIJ037', 'MYZ037', 'Mr Adrien Szabo', 'Labourer', 'Promotion', 'Seoul', '04-Jun-2014', '16-Feb-2015', 'Winter Collection 2015', 4300);</v>
      </c>
    </row>
    <row r="39" spans="1:17" ht="18" customHeight="1" x14ac:dyDescent="0.25">
      <c r="A39" s="17" t="s">
        <v>4299</v>
      </c>
      <c r="B39" s="7" t="str">
        <f>Employees!A39</f>
        <v>MYZ038</v>
      </c>
      <c r="C39" s="13" t="str">
        <f ca="1">Employees!B39 &amp; " " &amp; Employees!C39 &amp; " " &amp; Employees!D39</f>
        <v>Mr Cleora Drake</v>
      </c>
      <c r="D39" s="13" t="str">
        <f ca="1">r_choice($L$4:$L$6)</f>
        <v>Assistant</v>
      </c>
      <c r="E39" s="13" t="str">
        <f ca="1">r_choice($L$9:$L$12)</f>
        <v>Manufacturing</v>
      </c>
      <c r="F39" s="14" t="str">
        <f ca="1">r_choice($L$15:$L$21)</f>
        <v>Sydney</v>
      </c>
      <c r="G39" s="14">
        <f t="shared" ca="1" si="0"/>
        <v>41696</v>
      </c>
      <c r="H39" s="14">
        <f ca="1">IF(ISNUMBER(SEARCH(Summer,I39)),G39+r_integer(90,180),G39+r_integer(90,270))</f>
        <v>41868</v>
      </c>
      <c r="I39" s="23" t="str">
        <f ca="1">r_choice($N$4:$N$5)&amp;" Collection "&amp;r_choice($O$4:$O$6)</f>
        <v>Summer Collection 2015</v>
      </c>
      <c r="J39" s="24">
        <f t="shared" ca="1" si="1"/>
        <v>3400</v>
      </c>
      <c r="Q39" s="5" t="str">
        <f t="shared" ca="1" si="2"/>
        <v>insert into assignments values ('GIJ038', 'MYZ038', 'Mr Cleora Drake', 'Assistant', 'Manufacturing', 'Sydney', '26-Feb-2014', '17-Aug-2014', 'Summer Collection 2015', 3400);</v>
      </c>
    </row>
    <row r="40" spans="1:17" ht="18" customHeight="1" x14ac:dyDescent="0.25">
      <c r="A40" s="17" t="s">
        <v>4300</v>
      </c>
      <c r="B40" s="7" t="str">
        <f>Employees!A40</f>
        <v>MYZ039</v>
      </c>
      <c r="C40" s="13" t="str">
        <f ca="1">Employees!B40 &amp; " " &amp; Employees!C40 &amp; " " &amp; Employees!D40</f>
        <v>Mr Mitsue Vauxhall</v>
      </c>
      <c r="D40" s="13" t="str">
        <f ca="1">r_choice($L$4:$L$6)</f>
        <v>Manager</v>
      </c>
      <c r="E40" s="13" t="str">
        <f ca="1">r_choice($L$9:$L$12)</f>
        <v>Styling</v>
      </c>
      <c r="F40" s="14" t="str">
        <f ca="1">r_choice($L$15:$L$21)</f>
        <v>Paris</v>
      </c>
      <c r="G40" s="14">
        <f t="shared" ca="1" si="0"/>
        <v>42180</v>
      </c>
      <c r="H40" s="14">
        <f ca="1">IF(ISNUMBER(SEARCH(Summer,I40)),G40+r_integer(90,180),G40+r_integer(90,270))</f>
        <v>42310</v>
      </c>
      <c r="I40" s="23" t="str">
        <f ca="1">r_choice($N$4:$N$5)&amp;" Collection "&amp;r_choice($O$4:$O$6)</f>
        <v>Winter Collection 2016</v>
      </c>
      <c r="J40" s="24">
        <f t="shared" ca="1" si="1"/>
        <v>4200</v>
      </c>
      <c r="Q40" s="5" t="str">
        <f t="shared" ca="1" si="2"/>
        <v>insert into assignments values ('GIJ039', 'MYZ039', 'Mr Mitsue Vauxhall', 'Manager', 'Styling', 'Paris', '25-Jun-2015', '02-Nov-2015', 'Winter Collection 2016', 4200);</v>
      </c>
    </row>
    <row r="41" spans="1:17" ht="18" customHeight="1" x14ac:dyDescent="0.25">
      <c r="A41" s="17" t="s">
        <v>4301</v>
      </c>
      <c r="B41" s="7" t="str">
        <f>Employees!A41</f>
        <v>MYZ040</v>
      </c>
      <c r="C41" s="13" t="str">
        <f ca="1">Employees!B41 &amp; " " &amp; Employees!C41 &amp; " " &amp; Employees!D41</f>
        <v>Ms Edda Blevins</v>
      </c>
      <c r="D41" s="13" t="str">
        <f ca="1">r_choice($L$4:$L$6)</f>
        <v>Manager</v>
      </c>
      <c r="E41" s="13" t="str">
        <f ca="1">r_choice($L$9:$L$12)</f>
        <v>Promotion</v>
      </c>
      <c r="F41" s="14" t="str">
        <f ca="1">r_choice($L$15:$L$21)</f>
        <v>Paris</v>
      </c>
      <c r="G41" s="14">
        <f t="shared" ca="1" si="0"/>
        <v>42256</v>
      </c>
      <c r="H41" s="14">
        <f ca="1">IF(ISNUMBER(SEARCH(Summer,I41)),G41+r_integer(90,180),G41+r_integer(90,270))</f>
        <v>42469</v>
      </c>
      <c r="I41" s="23" t="str">
        <f ca="1">r_choice($N$4:$N$5)&amp;" Collection "&amp;r_choice($O$4:$O$6)</f>
        <v>Winter Collection 2016</v>
      </c>
      <c r="J41" s="24">
        <f t="shared" ca="1" si="1"/>
        <v>4400</v>
      </c>
      <c r="Q41" s="5" t="str">
        <f t="shared" ca="1" si="2"/>
        <v>insert into assignments values ('GIJ040', 'MYZ040', 'Ms Edda Blevins', 'Manager', 'Promotion', 'Paris', '09-Sep-2015', '09-Apr-2016', 'Winter Collection 2016', 4400);</v>
      </c>
    </row>
    <row r="42" spans="1:17" ht="18" customHeight="1" x14ac:dyDescent="0.25"/>
    <row r="43" spans="1:17" ht="18" customHeight="1" x14ac:dyDescent="0.25">
      <c r="Q43" s="5"/>
    </row>
    <row r="44" spans="1:17" ht="18" customHeight="1" x14ac:dyDescent="0.25">
      <c r="Q44" s="5"/>
    </row>
    <row r="45" spans="1:17" ht="18" customHeight="1" x14ac:dyDescent="0.25">
      <c r="Q45" s="5"/>
    </row>
    <row r="46" spans="1:17" ht="18" customHeight="1" x14ac:dyDescent="0.25">
      <c r="Q46" s="5"/>
    </row>
    <row r="47" spans="1:17" ht="18" customHeight="1" x14ac:dyDescent="0.25">
      <c r="Q47" s="5"/>
    </row>
    <row r="48" spans="1:17" ht="18" customHeight="1" x14ac:dyDescent="0.25">
      <c r="Q48" s="5"/>
    </row>
    <row r="49" spans="17:17" ht="18" customHeight="1" x14ac:dyDescent="0.25">
      <c r="Q49" s="5"/>
    </row>
    <row r="50" spans="17:17" ht="18" customHeight="1" x14ac:dyDescent="0.25">
      <c r="Q50" s="5"/>
    </row>
    <row r="51" spans="17:17" ht="18" customHeight="1" x14ac:dyDescent="0.25">
      <c r="Q51" s="5"/>
    </row>
    <row r="52" spans="17:17" ht="18" customHeight="1" x14ac:dyDescent="0.25">
      <c r="Q52" s="5"/>
    </row>
    <row r="53" spans="17:17" ht="18" customHeight="1" x14ac:dyDescent="0.25">
      <c r="Q53" s="5"/>
    </row>
    <row r="54" spans="17:17" ht="18" customHeight="1" x14ac:dyDescent="0.25">
      <c r="Q54" s="5"/>
    </row>
    <row r="55" spans="17:17" ht="18" customHeight="1" x14ac:dyDescent="0.25">
      <c r="Q55" s="5"/>
    </row>
    <row r="56" spans="17:17" ht="18" customHeight="1" x14ac:dyDescent="0.25">
      <c r="Q56" s="5"/>
    </row>
    <row r="57" spans="17:17" ht="18" customHeight="1" x14ac:dyDescent="0.25">
      <c r="Q57" s="5"/>
    </row>
    <row r="58" spans="17:17" ht="18" customHeight="1" x14ac:dyDescent="0.25">
      <c r="Q58" s="5"/>
    </row>
    <row r="59" spans="17:17" ht="18" customHeight="1" x14ac:dyDescent="0.25">
      <c r="Q59" s="5"/>
    </row>
    <row r="60" spans="17:17" ht="18" customHeight="1" x14ac:dyDescent="0.25">
      <c r="Q60" s="5"/>
    </row>
    <row r="61" spans="17:17" ht="18" customHeight="1" x14ac:dyDescent="0.25">
      <c r="Q61" s="5"/>
    </row>
    <row r="62" spans="17:17" ht="18" customHeight="1" x14ac:dyDescent="0.25">
      <c r="Q62" s="5"/>
    </row>
    <row r="63" spans="17:17" ht="18" customHeight="1" x14ac:dyDescent="0.25">
      <c r="Q63" s="5"/>
    </row>
    <row r="64" spans="17:17" ht="21" customHeight="1" x14ac:dyDescent="0.25">
      <c r="Q64" s="5"/>
    </row>
    <row r="65" spans="17:17" ht="21" customHeight="1" x14ac:dyDescent="0.25">
      <c r="Q65" s="5"/>
    </row>
    <row r="66" spans="17:17" ht="21" customHeight="1" x14ac:dyDescent="0.25">
      <c r="Q66" s="5"/>
    </row>
    <row r="67" spans="17:17" ht="21" customHeight="1" x14ac:dyDescent="0.25">
      <c r="Q67" s="5"/>
    </row>
    <row r="68" spans="17:17" ht="21" customHeight="1" x14ac:dyDescent="0.25">
      <c r="Q68" s="5"/>
    </row>
    <row r="69" spans="17:17" ht="21" customHeight="1" x14ac:dyDescent="0.25">
      <c r="Q69" s="5"/>
    </row>
    <row r="70" spans="17:17" ht="21" customHeight="1" x14ac:dyDescent="0.25">
      <c r="Q70" s="5"/>
    </row>
    <row r="71" spans="17:17" ht="21" customHeight="1" x14ac:dyDescent="0.25">
      <c r="Q71" s="5"/>
    </row>
    <row r="72" spans="17:17" ht="21" customHeight="1" x14ac:dyDescent="0.25">
      <c r="Q72" s="5"/>
    </row>
    <row r="73" spans="17:17" ht="21" customHeight="1" x14ac:dyDescent="0.25">
      <c r="Q73" s="5"/>
    </row>
    <row r="74" spans="17:17" ht="21" customHeight="1" x14ac:dyDescent="0.25">
      <c r="Q74" s="5"/>
    </row>
    <row r="75" spans="17:17" ht="21" customHeight="1" x14ac:dyDescent="0.25">
      <c r="Q75" s="5"/>
    </row>
    <row r="76" spans="17:17" ht="21" customHeight="1" x14ac:dyDescent="0.25">
      <c r="Q76" s="5"/>
    </row>
    <row r="77" spans="17:17" ht="21" customHeight="1" x14ac:dyDescent="0.25">
      <c r="Q77" s="5"/>
    </row>
    <row r="78" spans="17:17" ht="21" customHeight="1" x14ac:dyDescent="0.25">
      <c r="Q78" s="5"/>
    </row>
    <row r="79" spans="17:17" ht="21" customHeight="1" x14ac:dyDescent="0.25">
      <c r="Q79" s="5"/>
    </row>
    <row r="80" spans="17:17" ht="21" customHeight="1" x14ac:dyDescent="0.25">
      <c r="Q80" s="5"/>
    </row>
    <row r="81" spans="17:17" ht="21" customHeight="1" x14ac:dyDescent="0.25">
      <c r="Q81" s="5"/>
    </row>
    <row r="82" spans="17:17" ht="21" customHeight="1" x14ac:dyDescent="0.25">
      <c r="Q82" s="5"/>
    </row>
    <row r="83" spans="17:17" ht="21" customHeight="1" x14ac:dyDescent="0.25">
      <c r="Q83" s="5"/>
    </row>
    <row r="84" spans="17:17" ht="21" customHeight="1" x14ac:dyDescent="0.25">
      <c r="Q84" s="5"/>
    </row>
    <row r="85" spans="17:17" ht="21" customHeight="1" x14ac:dyDescent="0.25">
      <c r="Q85" s="5"/>
    </row>
    <row r="86" spans="17:17" ht="21" customHeight="1" x14ac:dyDescent="0.25">
      <c r="Q86" s="5"/>
    </row>
    <row r="87" spans="17:17" ht="21" customHeight="1" x14ac:dyDescent="0.25">
      <c r="Q87" s="5"/>
    </row>
    <row r="88" spans="17:17" ht="21" customHeight="1" x14ac:dyDescent="0.25">
      <c r="Q88" s="5"/>
    </row>
    <row r="89" spans="17:17" ht="21" customHeight="1" x14ac:dyDescent="0.25">
      <c r="Q89" s="5"/>
    </row>
    <row r="90" spans="17:17" ht="21" customHeight="1" x14ac:dyDescent="0.25">
      <c r="Q90" s="5"/>
    </row>
    <row r="91" spans="17:17" ht="21" customHeight="1" x14ac:dyDescent="0.25">
      <c r="Q91" s="5"/>
    </row>
    <row r="92" spans="17:17" ht="21" customHeight="1" x14ac:dyDescent="0.25">
      <c r="Q92" s="5"/>
    </row>
    <row r="93" spans="17:17" ht="21" customHeight="1" x14ac:dyDescent="0.25">
      <c r="Q93" s="5"/>
    </row>
    <row r="94" spans="17:17" ht="21" customHeight="1" x14ac:dyDescent="0.25">
      <c r="Q94" s="5"/>
    </row>
    <row r="95" spans="17:17" ht="21" customHeight="1" x14ac:dyDescent="0.25">
      <c r="Q95" s="5"/>
    </row>
    <row r="96" spans="17:17" ht="21" customHeight="1" x14ac:dyDescent="0.25">
      <c r="Q96" s="5"/>
    </row>
    <row r="97" spans="17:17" ht="21" customHeight="1" x14ac:dyDescent="0.25">
      <c r="Q97" s="5"/>
    </row>
    <row r="98" spans="17:17" ht="21" customHeight="1" x14ac:dyDescent="0.25">
      <c r="Q98" s="5"/>
    </row>
    <row r="99" spans="17:17" ht="21" customHeight="1" x14ac:dyDescent="0.25">
      <c r="Q99" s="5"/>
    </row>
    <row r="100" spans="17:17" ht="21" customHeight="1" x14ac:dyDescent="0.25">
      <c r="Q100" s="5"/>
    </row>
    <row r="101" spans="17:17" ht="21" customHeight="1" x14ac:dyDescent="0.25">
      <c r="Q101" s="5"/>
    </row>
    <row r="102" spans="17:17" ht="21" customHeight="1" x14ac:dyDescent="0.25">
      <c r="Q102" s="5"/>
    </row>
    <row r="103" spans="17:17" ht="21" customHeight="1" x14ac:dyDescent="0.25">
      <c r="Q103" s="6"/>
    </row>
  </sheetData>
  <mergeCells count="1">
    <mergeCell ref="N2:O2"/>
  </mergeCells>
  <phoneticPr fontId="2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Q64"/>
  <sheetViews>
    <sheetView zoomScale="80" zoomScaleNormal="80" workbookViewId="0">
      <selection activeCell="E3" sqref="E3"/>
    </sheetView>
  </sheetViews>
  <sheetFormatPr defaultRowHeight="13.2" x14ac:dyDescent="0.25"/>
  <cols>
    <col min="1" max="1" width="17.6640625" bestFit="1" customWidth="1"/>
    <col min="2" max="2" width="10.44140625" bestFit="1" customWidth="1"/>
    <col min="3" max="3" width="15.21875" bestFit="1" customWidth="1"/>
    <col min="4" max="4" width="15.109375" bestFit="1" customWidth="1"/>
    <col min="5" max="5" width="14.6640625" bestFit="1" customWidth="1"/>
    <col min="6" max="6" width="20.77734375" bestFit="1" customWidth="1"/>
    <col min="7" max="7" width="19.109375" bestFit="1" customWidth="1"/>
    <col min="8" max="8" width="13.109375" bestFit="1" customWidth="1"/>
    <col min="9" max="9" width="11" bestFit="1" customWidth="1"/>
    <col min="10" max="10" width="23.77734375" bestFit="1" customWidth="1"/>
    <col min="11" max="11" width="26.88671875" bestFit="1" customWidth="1"/>
    <col min="12" max="12" width="23.21875" bestFit="1" customWidth="1"/>
    <col min="13" max="13" width="7.33203125" bestFit="1" customWidth="1"/>
    <col min="14" max="14" width="26.88671875" bestFit="1" customWidth="1"/>
    <col min="15" max="15" width="7.33203125" bestFit="1" customWidth="1"/>
    <col min="17" max="17" width="157.88671875" customWidth="1"/>
  </cols>
  <sheetData>
    <row r="1" spans="1:17" ht="18" customHeight="1" x14ac:dyDescent="0.25">
      <c r="A1" s="11" t="s">
        <v>4127</v>
      </c>
      <c r="B1" s="11" t="s">
        <v>4355</v>
      </c>
      <c r="C1" s="11" t="s">
        <v>4356</v>
      </c>
      <c r="D1" s="11" t="s">
        <v>4357</v>
      </c>
      <c r="E1" s="12" t="s">
        <v>4249</v>
      </c>
      <c r="F1" s="11" t="s">
        <v>4250</v>
      </c>
      <c r="G1" s="10" t="s">
        <v>4256</v>
      </c>
      <c r="H1" s="11" t="s">
        <v>4358</v>
      </c>
      <c r="I1" s="11" t="s">
        <v>4359</v>
      </c>
      <c r="J1" s="11" t="s">
        <v>4360</v>
      </c>
    </row>
    <row r="2" spans="1:17" ht="18" customHeight="1" x14ac:dyDescent="0.25">
      <c r="A2" s="7" t="s">
        <v>4305</v>
      </c>
      <c r="B2" s="13" t="str">
        <f ca="1">IF(r_choice($L$3:$L$4)="M","Mr.","Ms.")</f>
        <v>Ms.</v>
      </c>
      <c r="C2" s="13" t="str">
        <f ca="1">IF(B2="Mr.",r_fname_m(),r_fname_f())</f>
        <v>Karma</v>
      </c>
      <c r="D2" s="13" t="str">
        <f ca="1">r_lname()</f>
        <v>Nieves</v>
      </c>
      <c r="E2" s="14">
        <f ca="1">r_date(1963,1,1983,1)</f>
        <v>24150</v>
      </c>
      <c r="F2" s="13" t="str">
        <f ca="1">r_integer(1, 200)&amp;" "&amp;r_lname()&amp;" "&amp;r_choice($L$8:$L$12)</f>
        <v>47 Mckinley Park</v>
      </c>
      <c r="G2" s="15">
        <f ca="1">r_integer(6994000000,6994999999)</f>
        <v>6994156668</v>
      </c>
      <c r="H2" s="13" t="str">
        <f ca="1">r_choice($L$16:$L$21)</f>
        <v>Europe</v>
      </c>
      <c r="I2" s="13" t="str">
        <f ca="1">r_choice($L$25:$L$28)</f>
        <v>Gold</v>
      </c>
      <c r="J2" s="13" t="str">
        <f ca="1">r_choice($L$31:$L$33)</f>
        <v>Credit Card</v>
      </c>
      <c r="L2" s="11" t="s">
        <v>4252</v>
      </c>
      <c r="N2" s="11"/>
      <c r="O2" s="7"/>
      <c r="Q2" s="7" t="s">
        <v>4122</v>
      </c>
    </row>
    <row r="3" spans="1:17" ht="18" customHeight="1" x14ac:dyDescent="0.25">
      <c r="A3" s="7" t="s">
        <v>4306</v>
      </c>
      <c r="B3" s="13" t="str">
        <f ca="1">IF(r_choice($L$3:$L$4)="M","Mr.","Ms.")</f>
        <v>Ms.</v>
      </c>
      <c r="C3" s="13" t="str">
        <f ca="1">IF(B3="Mr.",r_fname_m(),r_fname_f())</f>
        <v>Natisha</v>
      </c>
      <c r="D3" s="13" t="str">
        <f t="shared" ref="D3:D51" ca="1" si="0">r_lname()</f>
        <v>Franco</v>
      </c>
      <c r="E3" s="14">
        <f t="shared" ref="E3:E34" ca="1" si="1">r_date(1975,1,1987,1)</f>
        <v>30054</v>
      </c>
      <c r="F3" s="13" t="str">
        <f ca="1">r_integer(1, 200)&amp;" "&amp;r_lname()&amp;" "&amp;r_choice($L$8:$L$12)</f>
        <v>6 Conway Square</v>
      </c>
      <c r="G3" s="15">
        <f t="shared" ref="G3:G34" ca="1" si="2">r_integer(6993000000,6993999999)</f>
        <v>6993231133</v>
      </c>
      <c r="H3" s="13" t="str">
        <f ca="1">r_choice($L$16:$L$21)</f>
        <v>South America</v>
      </c>
      <c r="I3" s="13" t="str">
        <f ca="1">r_choice($L$25:$L$28)</f>
        <v>Gold</v>
      </c>
      <c r="J3" s="13" t="str">
        <f ca="1">r_choice($L$31:$L$33)</f>
        <v>Credit Card</v>
      </c>
      <c r="L3" s="7" t="s">
        <v>4206</v>
      </c>
      <c r="N3" s="11" t="s">
        <v>4127</v>
      </c>
      <c r="O3" s="7" t="s">
        <v>4119</v>
      </c>
      <c r="Q3" t="str">
        <f ca="1">insertinto(A2:J2,$N$3:$O$12, "customers")</f>
        <v>insert into customers values ('CUS001', 'Ms.', 'Karma', 'Nieves', '12-Feb-1966', '47 Mckinley Park', 6994156668, 'Europe', 'Gold', 'Credit Card');</v>
      </c>
    </row>
    <row r="4" spans="1:17" ht="18" customHeight="1" x14ac:dyDescent="0.25">
      <c r="A4" s="7" t="s">
        <v>4307</v>
      </c>
      <c r="B4" s="13" t="str">
        <f ca="1">IF(r_choice($L$3:$L$4)="M","Mr.","Ms.")</f>
        <v>Ms.</v>
      </c>
      <c r="C4" s="13" t="str">
        <f ca="1">IF(B4="Mr.",r_fname_m(),r_fname_f())</f>
        <v>Angela</v>
      </c>
      <c r="D4" s="13" t="str">
        <f t="shared" ca="1" si="0"/>
        <v>Wesley</v>
      </c>
      <c r="E4" s="14">
        <f t="shared" ca="1" si="1"/>
        <v>29534</v>
      </c>
      <c r="F4" s="13" t="str">
        <f ca="1">r_integer(1, 200)&amp;" "&amp;r_lname()&amp;" "&amp;r_choice($L$8:$L$12)</f>
        <v>133 Pyne Square</v>
      </c>
      <c r="G4" s="15">
        <f t="shared" ca="1" si="2"/>
        <v>6993866555</v>
      </c>
      <c r="H4" s="13" t="str">
        <f ca="1">r_choice($L$16:$L$21)</f>
        <v>North America</v>
      </c>
      <c r="I4" s="13" t="str">
        <f ca="1">r_choice($L$25:$L$28)</f>
        <v>Bronze</v>
      </c>
      <c r="J4" s="13" t="str">
        <f ca="1">r_choice($L$31:$L$33)</f>
        <v>Bank Wire</v>
      </c>
      <c r="L4" s="7" t="s">
        <v>4207</v>
      </c>
      <c r="N4" s="11" t="s">
        <v>4355</v>
      </c>
      <c r="O4" s="7" t="s">
        <v>4119</v>
      </c>
      <c r="Q4" t="str">
        <f t="shared" ref="Q4:Q52" ca="1" si="3">insertinto(A3:J3,$N$3:$O$12, "customers")</f>
        <v>insert into customers values ('CUS002', 'Ms.', 'Natisha', 'Franco', '13-Apr-1982', '6 Conway Square', 6993231133, 'South America', 'Gold', 'Credit Card');</v>
      </c>
    </row>
    <row r="5" spans="1:17" ht="18" customHeight="1" x14ac:dyDescent="0.25">
      <c r="A5" s="7" t="s">
        <v>4308</v>
      </c>
      <c r="B5" s="13" t="str">
        <f ca="1">IF(r_choice($L$3:$L$4)="M","Mr.","Ms.")</f>
        <v>Ms.</v>
      </c>
      <c r="C5" s="13" t="str">
        <f ca="1">IF(B5="Mr.",r_fname_m(),r_fname_f())</f>
        <v>Inghe</v>
      </c>
      <c r="D5" s="13" t="str">
        <f t="shared" ca="1" si="0"/>
        <v>Sosa</v>
      </c>
      <c r="E5" s="14">
        <f t="shared" ca="1" si="1"/>
        <v>31611</v>
      </c>
      <c r="F5" s="13" t="str">
        <f ca="1">r_integer(1, 200)&amp;" "&amp;r_lname()&amp;" "&amp;r_choice($L$8:$L$12)</f>
        <v>185 Caldwell Park</v>
      </c>
      <c r="G5" s="15">
        <f t="shared" ca="1" si="2"/>
        <v>6993275388</v>
      </c>
      <c r="H5" s="13" t="str">
        <f ca="1">r_choice($L$16:$L$21)</f>
        <v>Europe</v>
      </c>
      <c r="I5" s="13" t="str">
        <f ca="1">r_choice($L$25:$L$28)</f>
        <v>Silver</v>
      </c>
      <c r="J5" s="13" t="str">
        <f ca="1">r_choice($L$31:$L$33)</f>
        <v>Cash</v>
      </c>
      <c r="N5" s="11" t="s">
        <v>4356</v>
      </c>
      <c r="O5" s="7" t="s">
        <v>4119</v>
      </c>
      <c r="Q5" t="str">
        <f t="shared" ca="1" si="3"/>
        <v>insert into customers values ('CUS003', 'Ms.', 'Angela', 'Wesley', '09-Nov-1980', '133 Pyne Square', 6993866555, 'North America', 'Bronze', 'Bank Wire');</v>
      </c>
    </row>
    <row r="6" spans="1:17" ht="18" customHeight="1" x14ac:dyDescent="0.25">
      <c r="A6" s="7" t="s">
        <v>4309</v>
      </c>
      <c r="B6" s="13" t="str">
        <f ca="1">IF(r_choice($L$3:$L$4)="M","Mr.","Ms.")</f>
        <v>Mr.</v>
      </c>
      <c r="C6" s="13" t="str">
        <f ca="1">IF(B6="Mr.",r_fname_m(),r_fname_f())</f>
        <v>Martin</v>
      </c>
      <c r="D6" s="13" t="str">
        <f t="shared" ca="1" si="0"/>
        <v>Wittgenstein</v>
      </c>
      <c r="E6" s="14">
        <f t="shared" ca="1" si="1"/>
        <v>28309</v>
      </c>
      <c r="F6" s="13" t="str">
        <f ca="1">r_integer(1, 200)&amp;" "&amp;r_lname()&amp;" "&amp;r_choice($L$8:$L$12)</f>
        <v>48 Silvers Lane</v>
      </c>
      <c r="G6" s="15">
        <f t="shared" ca="1" si="2"/>
        <v>6993325630</v>
      </c>
      <c r="H6" s="13" t="str">
        <f ca="1">r_choice($L$16:$L$21)</f>
        <v>Europe</v>
      </c>
      <c r="I6" s="13" t="str">
        <f ca="1">r_choice($L$25:$L$28)</f>
        <v>Bronze</v>
      </c>
      <c r="J6" s="13" t="str">
        <f ca="1">r_choice($L$31:$L$33)</f>
        <v>Cash</v>
      </c>
      <c r="L6" s="1"/>
      <c r="M6" s="1"/>
      <c r="N6" s="11" t="s">
        <v>4357</v>
      </c>
      <c r="O6" s="7" t="s">
        <v>4119</v>
      </c>
      <c r="Q6" t="str">
        <f t="shared" ca="1" si="3"/>
        <v>insert into customers values ('CUS004', 'Ms.', 'Inghe', 'Sosa', '18-Jul-1986', '185 Caldwell Park', 6993275388, 'Europe', 'Silver', 'Cash');</v>
      </c>
    </row>
    <row r="7" spans="1:17" ht="18" customHeight="1" x14ac:dyDescent="0.25">
      <c r="A7" s="7" t="s">
        <v>4310</v>
      </c>
      <c r="B7" s="13" t="str">
        <f ca="1">IF(r_choice($L$3:$L$4)="M","Mr.","Ms.")</f>
        <v>Mr.</v>
      </c>
      <c r="C7" s="13" t="str">
        <f ca="1">IF(B7="Mr.",r_fname_m(),r_fname_f())</f>
        <v>Gerard</v>
      </c>
      <c r="D7" s="13" t="str">
        <f t="shared" ca="1" si="0"/>
        <v>Crabtree</v>
      </c>
      <c r="E7" s="14">
        <f t="shared" ca="1" si="1"/>
        <v>29586</v>
      </c>
      <c r="F7" s="13" t="str">
        <f ca="1">r_integer(1, 200)&amp;" "&amp;r_lname()&amp;" "&amp;r_choice($L$8:$L$12)</f>
        <v>60 Diamond Park</v>
      </c>
      <c r="G7" s="15">
        <f t="shared" ca="1" si="2"/>
        <v>6993790198</v>
      </c>
      <c r="H7" s="13" t="str">
        <f ca="1">r_choice($L$16:$L$21)</f>
        <v>Africa</v>
      </c>
      <c r="I7" s="13" t="str">
        <f ca="1">r_choice($L$25:$L$28)</f>
        <v>Bronze</v>
      </c>
      <c r="J7" s="13" t="str">
        <f ca="1">r_choice($L$31:$L$33)</f>
        <v>Bank Wire</v>
      </c>
      <c r="L7" s="11" t="s">
        <v>4250</v>
      </c>
      <c r="M7" s="1"/>
      <c r="N7" s="12" t="s">
        <v>4249</v>
      </c>
      <c r="O7" s="7" t="s">
        <v>4120</v>
      </c>
      <c r="Q7" t="str">
        <f t="shared" ca="1" si="3"/>
        <v>insert into customers values ('CUS005', 'Mr.', 'Martin', 'Wittgenstein', '03-Jul-1977', '48 Silvers Lane', 6993325630, 'Europe', 'Bronze', 'Cash');</v>
      </c>
    </row>
    <row r="8" spans="1:17" ht="18" customHeight="1" x14ac:dyDescent="0.25">
      <c r="A8" s="7" t="s">
        <v>4311</v>
      </c>
      <c r="B8" s="13" t="str">
        <f ca="1">IF(r_choice($L$3:$L$4)="M","Mr.","Ms.")</f>
        <v>Mr.</v>
      </c>
      <c r="C8" s="13" t="str">
        <f ca="1">IF(B8="Mr.",r_fname_m(),r_fname_f())</f>
        <v>Brady</v>
      </c>
      <c r="D8" s="13" t="str">
        <f t="shared" ca="1" si="0"/>
        <v>Darnell</v>
      </c>
      <c r="E8" s="14">
        <f t="shared" ca="1" si="1"/>
        <v>28904</v>
      </c>
      <c r="F8" s="13" t="str">
        <f ca="1">r_integer(1, 200)&amp;" "&amp;r_lname()&amp;" "&amp;r_choice($L$8:$L$12)</f>
        <v>52 Judd Street</v>
      </c>
      <c r="G8" s="15">
        <f t="shared" ca="1" si="2"/>
        <v>6993949030</v>
      </c>
      <c r="H8" s="13" t="str">
        <f ca="1">r_choice($L$16:$L$21)</f>
        <v>Australia</v>
      </c>
      <c r="I8" s="13" t="str">
        <f ca="1">r_choice($L$25:$L$28)</f>
        <v>Silver</v>
      </c>
      <c r="J8" s="13" t="str">
        <f ca="1">r_choice($L$31:$L$33)</f>
        <v>Bank Wire</v>
      </c>
      <c r="L8" s="7" t="s">
        <v>4124</v>
      </c>
      <c r="M8" s="1"/>
      <c r="N8" s="11" t="s">
        <v>4250</v>
      </c>
      <c r="O8" s="7" t="s">
        <v>4119</v>
      </c>
      <c r="Q8" t="str">
        <f t="shared" ca="1" si="3"/>
        <v>insert into customers values ('CUS006', 'Mr.', 'Gerard', 'Crabtree', '31-Dec-1980', '60 Diamond Park', 6993790198, 'Africa', 'Bronze', 'Bank Wire');</v>
      </c>
    </row>
    <row r="9" spans="1:17" ht="18" customHeight="1" x14ac:dyDescent="0.25">
      <c r="A9" s="7" t="s">
        <v>4312</v>
      </c>
      <c r="B9" s="13" t="str">
        <f ca="1">IF(r_choice($L$3:$L$4)="M","Mr.","Ms.")</f>
        <v>Ms.</v>
      </c>
      <c r="C9" s="13" t="str">
        <f ca="1">IF(B9="Mr.",r_fname_m(),r_fname_f())</f>
        <v>Krista</v>
      </c>
      <c r="D9" s="13" t="str">
        <f ca="1">r_lname()</f>
        <v>Lucas</v>
      </c>
      <c r="E9" s="14">
        <f t="shared" ca="1" si="1"/>
        <v>30225</v>
      </c>
      <c r="F9" s="13" t="str">
        <f ca="1">r_integer(1, 200)&amp;" "&amp;r_lname()&amp;" "&amp;r_choice($L$8:$L$12)</f>
        <v>77 Carlton Square</v>
      </c>
      <c r="G9" s="15">
        <f t="shared" ca="1" si="2"/>
        <v>6993294262</v>
      </c>
      <c r="H9" s="13" t="str">
        <f ca="1">r_choice($L$16:$L$21)</f>
        <v>South America</v>
      </c>
      <c r="I9" s="13" t="str">
        <f ca="1">r_choice($L$25:$L$28)</f>
        <v>Plantium</v>
      </c>
      <c r="J9" s="13" t="str">
        <f ca="1">r_choice($L$31:$L$33)</f>
        <v>Cash</v>
      </c>
      <c r="L9" s="7" t="s">
        <v>2561</v>
      </c>
      <c r="M9" s="1"/>
      <c r="N9" s="10" t="s">
        <v>4361</v>
      </c>
      <c r="O9" s="7" t="s">
        <v>4121</v>
      </c>
      <c r="Q9" t="str">
        <f t="shared" ca="1" si="3"/>
        <v>insert into customers values ('CUS007', 'Mr.', 'Brady', 'Darnell', '18-Feb-1979', '52 Judd Street', 6993949030, 'Australia', 'Silver', 'Bank Wire');</v>
      </c>
    </row>
    <row r="10" spans="1:17" ht="18" customHeight="1" x14ac:dyDescent="0.25">
      <c r="A10" s="7" t="s">
        <v>4313</v>
      </c>
      <c r="B10" s="13" t="str">
        <f ca="1">IF(r_choice($L$3:$L$4)="M","Mr.","Ms.")</f>
        <v>Mr.</v>
      </c>
      <c r="C10" s="13" t="str">
        <f ca="1">IF(B10="Mr.",r_fname_m(),r_fname_f())</f>
        <v>Frederic</v>
      </c>
      <c r="D10" s="13" t="str">
        <f t="shared" ca="1" si="0"/>
        <v>Banach</v>
      </c>
      <c r="E10" s="14">
        <f t="shared" ca="1" si="1"/>
        <v>29937</v>
      </c>
      <c r="F10" s="13" t="str">
        <f ca="1">r_integer(1, 200)&amp;" "&amp;r_lname()&amp;" "&amp;r_choice($L$8:$L$12)</f>
        <v>51 Greenwood Lane</v>
      </c>
      <c r="G10" s="15">
        <f t="shared" ca="1" si="2"/>
        <v>6993381924</v>
      </c>
      <c r="H10" s="13" t="str">
        <f ca="1">r_choice($L$16:$L$21)</f>
        <v>Australia</v>
      </c>
      <c r="I10" s="13" t="str">
        <f ca="1">r_choice($L$25:$L$28)</f>
        <v>Bronze</v>
      </c>
      <c r="J10" s="13" t="str">
        <f ca="1">r_choice($L$31:$L$33)</f>
        <v>Bank Wire</v>
      </c>
      <c r="L10" s="7" t="s">
        <v>467</v>
      </c>
      <c r="N10" s="11" t="s">
        <v>4358</v>
      </c>
      <c r="O10" s="7" t="s">
        <v>4119</v>
      </c>
      <c r="Q10" t="str">
        <f t="shared" ca="1" si="3"/>
        <v>insert into customers values ('CUS008', 'Ms.', 'Krista', 'Lucas', '01-Oct-1982', '77 Carlton Square', 6993294262, 'South America', 'Plantium', 'Cash');</v>
      </c>
    </row>
    <row r="11" spans="1:17" ht="18" customHeight="1" x14ac:dyDescent="0.25">
      <c r="A11" s="7" t="s">
        <v>4314</v>
      </c>
      <c r="B11" s="13" t="str">
        <f ca="1">IF(r_choice($L$3:$L$4)="M","Mr.","Ms.")</f>
        <v>Ms.</v>
      </c>
      <c r="C11" s="13" t="str">
        <f ca="1">IF(B11="Mr.",r_fname_m(),r_fname_f())</f>
        <v>Mendy</v>
      </c>
      <c r="D11" s="13" t="str">
        <f t="shared" ca="1" si="0"/>
        <v>Chase</v>
      </c>
      <c r="E11" s="14">
        <f t="shared" ca="1" si="1"/>
        <v>29987</v>
      </c>
      <c r="F11" s="13" t="str">
        <f ca="1">r_integer(1, 200)&amp;" "&amp;r_lname()&amp;" "&amp;r_choice($L$8:$L$12)</f>
        <v>107 Esquivel Avenue</v>
      </c>
      <c r="G11" s="15">
        <f t="shared" ca="1" si="2"/>
        <v>6993877923</v>
      </c>
      <c r="H11" s="13" t="str">
        <f ca="1">r_choice($L$16:$L$21)</f>
        <v>Asia</v>
      </c>
      <c r="I11" s="13" t="str">
        <f ca="1">r_choice($L$25:$L$28)</f>
        <v>Bronze</v>
      </c>
      <c r="J11" s="13" t="str">
        <f ca="1">r_choice($L$31:$L$33)</f>
        <v>Bank Wire</v>
      </c>
      <c r="L11" s="7" t="s">
        <v>1364</v>
      </c>
      <c r="N11" s="11" t="s">
        <v>4359</v>
      </c>
      <c r="O11" s="7" t="s">
        <v>4119</v>
      </c>
      <c r="Q11" t="str">
        <f t="shared" ca="1" si="3"/>
        <v>insert into customers values ('CUS009', 'Mr.', 'Frederic', 'Banach', '17-Dec-1981', '51 Greenwood Lane', 6993381924, 'Australia', 'Bronze', 'Bank Wire');</v>
      </c>
    </row>
    <row r="12" spans="1:17" ht="18" customHeight="1" x14ac:dyDescent="0.25">
      <c r="A12" s="7" t="s">
        <v>4315</v>
      </c>
      <c r="B12" s="13" t="str">
        <f ca="1">IF(r_choice($L$3:$L$4)="M","Mr.","Ms.")</f>
        <v>Ms.</v>
      </c>
      <c r="C12" s="13" t="str">
        <f ca="1">IF(B12="Mr.",r_fname_m(),r_fname_f())</f>
        <v>Artie</v>
      </c>
      <c r="D12" s="13" t="str">
        <f t="shared" ca="1" si="0"/>
        <v>Robinson</v>
      </c>
      <c r="E12" s="14">
        <f t="shared" ca="1" si="1"/>
        <v>29712</v>
      </c>
      <c r="F12" s="13" t="str">
        <f ca="1">r_integer(1, 200)&amp;" "&amp;r_lname()&amp;" "&amp;r_choice($L$8:$L$12)</f>
        <v>29 Fountain Street</v>
      </c>
      <c r="G12" s="15">
        <f t="shared" ca="1" si="2"/>
        <v>6993717257</v>
      </c>
      <c r="H12" s="13" t="str">
        <f ca="1">r_choice($L$16:$L$21)</f>
        <v>Australia</v>
      </c>
      <c r="I12" s="13" t="str">
        <f ca="1">r_choice($L$25:$L$28)</f>
        <v>Silver</v>
      </c>
      <c r="J12" s="13" t="str">
        <f ca="1">r_choice($L$31:$L$33)</f>
        <v>Bank Wire</v>
      </c>
      <c r="L12" s="7" t="s">
        <v>4125</v>
      </c>
      <c r="N12" s="11" t="s">
        <v>4360</v>
      </c>
      <c r="O12" s="7" t="s">
        <v>4119</v>
      </c>
      <c r="Q12" t="str">
        <f t="shared" ca="1" si="3"/>
        <v>insert into customers values ('CUS010', 'Ms.', 'Mendy', 'Chase', '05-Feb-1982', '107 Esquivel Avenue', 6993877923, 'Asia', 'Bronze', 'Bank Wire');</v>
      </c>
    </row>
    <row r="13" spans="1:17" ht="18" customHeight="1" x14ac:dyDescent="0.25">
      <c r="A13" s="7" t="s">
        <v>4316</v>
      </c>
      <c r="B13" s="13" t="str">
        <f ca="1">IF(r_choice($L$3:$L$4)="M","Mr.","Ms.")</f>
        <v>Ms.</v>
      </c>
      <c r="C13" s="13" t="str">
        <f ca="1">IF(B13="Mr.",r_fname_m(),r_fname_f())</f>
        <v>Nelida</v>
      </c>
      <c r="D13" s="13" t="str">
        <f t="shared" ca="1" si="0"/>
        <v>Skinner</v>
      </c>
      <c r="E13" s="14">
        <f t="shared" ca="1" si="1"/>
        <v>28584</v>
      </c>
      <c r="F13" s="13" t="str">
        <f ca="1">r_integer(1, 200)&amp;" "&amp;r_lname()&amp;" "&amp;r_choice($L$8:$L$12)</f>
        <v>119 Mims Avenue</v>
      </c>
      <c r="G13" s="15">
        <f t="shared" ca="1" si="2"/>
        <v>6993308714</v>
      </c>
      <c r="H13" s="13" t="str">
        <f ca="1">r_choice($L$16:$L$21)</f>
        <v>Asia</v>
      </c>
      <c r="I13" s="13" t="str">
        <f ca="1">r_choice($L$25:$L$28)</f>
        <v>Gold</v>
      </c>
      <c r="J13" s="13" t="str">
        <f ca="1">r_choice($L$31:$L$33)</f>
        <v>Bank Wire</v>
      </c>
      <c r="Q13" t="str">
        <f t="shared" ca="1" si="3"/>
        <v>insert into customers values ('CUS011', 'Ms.', 'Artie', 'Robinson', '06-May-1981', '29 Fountain Street', 6993717257, 'Australia', 'Silver', 'Bank Wire');</v>
      </c>
    </row>
    <row r="14" spans="1:17" ht="18" customHeight="1" x14ac:dyDescent="0.25">
      <c r="A14" s="7" t="s">
        <v>4317</v>
      </c>
      <c r="B14" s="13" t="str">
        <f ca="1">IF(r_choice($L$3:$L$4)="M","Mr.","Ms.")</f>
        <v>Mr.</v>
      </c>
      <c r="C14" s="13" t="str">
        <f ca="1">IF(B14="Mr.",r_fname_m(),r_fname_f())</f>
        <v>Shelby</v>
      </c>
      <c r="D14" s="13" t="str">
        <f t="shared" ca="1" si="0"/>
        <v>Lincoln</v>
      </c>
      <c r="E14" s="14">
        <f t="shared" ca="1" si="1"/>
        <v>30761</v>
      </c>
      <c r="F14" s="13" t="str">
        <f ca="1">r_integer(1, 200)&amp;" "&amp;r_lname()&amp;" "&amp;r_choice($L$8:$L$12)</f>
        <v>185 Delgado Street</v>
      </c>
      <c r="G14" s="15">
        <f t="shared" ca="1" si="2"/>
        <v>6993347771</v>
      </c>
      <c r="H14" s="13" t="str">
        <f ca="1">r_choice($L$16:$L$21)</f>
        <v>Africa</v>
      </c>
      <c r="I14" s="13" t="str">
        <f ca="1">r_choice($L$25:$L$28)</f>
        <v>Silver</v>
      </c>
      <c r="J14" s="13" t="str">
        <f ca="1">r_choice($L$31:$L$33)</f>
        <v>Bank Wire</v>
      </c>
      <c r="Q14" t="str">
        <f t="shared" ca="1" si="3"/>
        <v>insert into customers values ('CUS012', 'Ms.', 'Nelida', 'Skinner', '04-Apr-1978', '119 Mims Avenue', 6993308714, 'Asia', 'Gold', 'Bank Wire');</v>
      </c>
    </row>
    <row r="15" spans="1:17" ht="18" customHeight="1" x14ac:dyDescent="0.25">
      <c r="A15" s="7" t="s">
        <v>4318</v>
      </c>
      <c r="B15" s="13" t="str">
        <f ca="1">IF(r_choice($L$3:$L$4)="M","Mr.","Ms.")</f>
        <v>Mr.</v>
      </c>
      <c r="C15" s="13" t="str">
        <f ca="1">IF(B15="Mr.",r_fname_m(),r_fname_f())</f>
        <v>Cedrick</v>
      </c>
      <c r="D15" s="13" t="str">
        <f t="shared" ca="1" si="0"/>
        <v>Hensley</v>
      </c>
      <c r="E15" s="14">
        <f t="shared" ca="1" si="1"/>
        <v>29410</v>
      </c>
      <c r="F15" s="13" t="str">
        <f ca="1">r_integer(1, 200)&amp;" "&amp;r_lname()&amp;" "&amp;r_choice($L$8:$L$12)</f>
        <v>114 Pennington Lane</v>
      </c>
      <c r="G15" s="15">
        <f t="shared" ca="1" si="2"/>
        <v>6993507245</v>
      </c>
      <c r="H15" s="13" t="str">
        <f ca="1">r_choice($L$16:$L$21)</f>
        <v>Australia</v>
      </c>
      <c r="I15" s="13" t="str">
        <f ca="1">r_choice($L$25:$L$28)</f>
        <v>Silver</v>
      </c>
      <c r="J15" s="13" t="str">
        <f ca="1">r_choice($L$31:$L$33)</f>
        <v>Credit Card</v>
      </c>
      <c r="L15" s="11" t="s">
        <v>4358</v>
      </c>
      <c r="Q15" t="str">
        <f t="shared" ca="1" si="3"/>
        <v>insert into customers values ('CUS013', 'Mr.', 'Shelby', 'Lincoln', '20-Mar-1984', '185 Delgado Street', 6993347771, 'Africa', 'Silver', 'Bank Wire');</v>
      </c>
    </row>
    <row r="16" spans="1:17" ht="18" customHeight="1" x14ac:dyDescent="0.25">
      <c r="A16" s="7" t="s">
        <v>4319</v>
      </c>
      <c r="B16" s="13" t="str">
        <f ca="1">IF(r_choice($L$3:$L$4)="M","Mr.","Ms.")</f>
        <v>Ms.</v>
      </c>
      <c r="C16" s="13" t="str">
        <f ca="1">IF(B16="Mr.",r_fname_m(),r_fname_f())</f>
        <v>Candace</v>
      </c>
      <c r="D16" s="13" t="str">
        <f ca="1">r_lname()</f>
        <v>Ellis</v>
      </c>
      <c r="E16" s="14">
        <f t="shared" ca="1" si="1"/>
        <v>29617</v>
      </c>
      <c r="F16" s="13" t="str">
        <f ca="1">r_integer(1, 200)&amp;" "&amp;r_lname()&amp;" "&amp;r_choice($L$8:$L$12)</f>
        <v>12 Fitch Avenue</v>
      </c>
      <c r="G16" s="15">
        <f t="shared" ca="1" si="2"/>
        <v>6993299342</v>
      </c>
      <c r="H16" s="13" t="str">
        <f ca="1">r_choice($L$16:$L$21)</f>
        <v>Europe</v>
      </c>
      <c r="I16" s="13" t="str">
        <f ca="1">r_choice($L$25:$L$28)</f>
        <v>Bronze</v>
      </c>
      <c r="J16" s="13" t="str">
        <f ca="1">r_choice($L$31:$L$33)</f>
        <v>Credit Card</v>
      </c>
      <c r="L16" s="7" t="s">
        <v>4129</v>
      </c>
      <c r="Q16" t="str">
        <f t="shared" ca="1" si="3"/>
        <v>insert into customers values ('CUS014', 'Mr.', 'Cedrick', 'Hensley', '08-Jul-1980', '114 Pennington Lane', 6993507245, 'Australia', 'Silver', 'Credit Card');</v>
      </c>
    </row>
    <row r="17" spans="1:17" ht="18" customHeight="1" x14ac:dyDescent="0.25">
      <c r="A17" s="7" t="s">
        <v>4320</v>
      </c>
      <c r="B17" s="13" t="str">
        <f ca="1">IF(r_choice($L$3:$L$4)="M","Mr.","Ms.")</f>
        <v>Ms.</v>
      </c>
      <c r="C17" s="13" t="str">
        <f ca="1">IF(B17="Mr.",r_fname_m(),r_fname_f())</f>
        <v>Emily</v>
      </c>
      <c r="D17" s="13" t="str">
        <f t="shared" ca="1" si="0"/>
        <v>Palme</v>
      </c>
      <c r="E17" s="14">
        <f t="shared" ca="1" si="1"/>
        <v>30633</v>
      </c>
      <c r="F17" s="13" t="str">
        <f ca="1">r_integer(1, 200)&amp;" "&amp;r_lname()&amp;" "&amp;r_choice($L$8:$L$12)</f>
        <v>38 Marrero Square</v>
      </c>
      <c r="G17" s="15">
        <f t="shared" ca="1" si="2"/>
        <v>6993269926</v>
      </c>
      <c r="H17" s="13" t="str">
        <f ca="1">r_choice($L$16:$L$21)</f>
        <v>South America</v>
      </c>
      <c r="I17" s="13" t="str">
        <f ca="1">r_choice($L$25:$L$28)</f>
        <v>Plantium</v>
      </c>
      <c r="J17" s="13" t="str">
        <f ca="1">r_choice($L$31:$L$33)</f>
        <v>Credit Card</v>
      </c>
      <c r="L17" s="7" t="s">
        <v>4131</v>
      </c>
      <c r="Q17" t="str">
        <f t="shared" ca="1" si="3"/>
        <v>insert into customers values ('CUS015', 'Ms.', 'Candace', 'Ellis', '31-Jan-1981', '12 Fitch Avenue', 6993299342, 'Europe', 'Bronze', 'Credit Card');</v>
      </c>
    </row>
    <row r="18" spans="1:17" ht="18" customHeight="1" x14ac:dyDescent="0.25">
      <c r="A18" s="7" t="s">
        <v>4321</v>
      </c>
      <c r="B18" s="13" t="str">
        <f ca="1">IF(r_choice($L$3:$L$4)="M","Mr.","Ms.")</f>
        <v>Mr.</v>
      </c>
      <c r="C18" s="13" t="str">
        <f ca="1">IF(B18="Mr.",r_fname_m(),r_fname_f())</f>
        <v>Keith</v>
      </c>
      <c r="D18" s="13" t="str">
        <f t="shared" ca="1" si="0"/>
        <v>Hendricks</v>
      </c>
      <c r="E18" s="14">
        <f t="shared" ca="1" si="1"/>
        <v>29648</v>
      </c>
      <c r="F18" s="13" t="str">
        <f ca="1">r_integer(1, 200)&amp;" "&amp;r_lname()&amp;" "&amp;r_choice($L$8:$L$12)</f>
        <v>160 Crocket Avenue</v>
      </c>
      <c r="G18" s="15">
        <f t="shared" ca="1" si="2"/>
        <v>6993714802</v>
      </c>
      <c r="H18" s="13" t="str">
        <f ca="1">r_choice($L$16:$L$21)</f>
        <v>Europe</v>
      </c>
      <c r="I18" s="13" t="str">
        <f ca="1">r_choice($L$25:$L$28)</f>
        <v>Bronze</v>
      </c>
      <c r="J18" s="13" t="str">
        <f ca="1">r_choice($L$31:$L$33)</f>
        <v>Cash</v>
      </c>
      <c r="L18" s="7" t="s">
        <v>4130</v>
      </c>
      <c r="Q18" t="str">
        <f t="shared" ca="1" si="3"/>
        <v>insert into customers values ('CUS016', 'Ms.', 'Emily', 'Palme', '13-Nov-1983', '38 Marrero Square', 6993269926, 'South America', 'Plantium', 'Credit Card');</v>
      </c>
    </row>
    <row r="19" spans="1:17" ht="18" customHeight="1" x14ac:dyDescent="0.25">
      <c r="A19" s="7" t="s">
        <v>4322</v>
      </c>
      <c r="B19" s="13" t="str">
        <f ca="1">IF(r_choice($L$3:$L$4)="M","Mr.","Ms.")</f>
        <v>Mr.</v>
      </c>
      <c r="C19" s="13" t="str">
        <f ca="1">IF(B19="Mr.",r_fname_m(),r_fname_f())</f>
        <v>Chong</v>
      </c>
      <c r="D19" s="13" t="str">
        <f t="shared" ca="1" si="0"/>
        <v>Kearney</v>
      </c>
      <c r="E19" s="14">
        <f t="shared" ca="1" si="1"/>
        <v>29213</v>
      </c>
      <c r="F19" s="13" t="str">
        <f ca="1">r_integer(1, 200)&amp;" "&amp;r_lname()&amp;" "&amp;r_choice($L$8:$L$12)</f>
        <v>70 Wilford Avenue</v>
      </c>
      <c r="G19" s="15">
        <f t="shared" ca="1" si="2"/>
        <v>6993841503</v>
      </c>
      <c r="H19" s="13" t="str">
        <f ca="1">r_choice($L$16:$L$21)</f>
        <v>Asia</v>
      </c>
      <c r="I19" s="13" t="str">
        <f ca="1">r_choice($L$25:$L$28)</f>
        <v>Bronze</v>
      </c>
      <c r="J19" s="13" t="str">
        <f ca="1">r_choice($L$31:$L$33)</f>
        <v>Cash</v>
      </c>
      <c r="L19" s="7" t="s">
        <v>4128</v>
      </c>
      <c r="Q19" t="str">
        <f t="shared" ca="1" si="3"/>
        <v>insert into customers values ('CUS017', 'Mr.', 'Keith', 'Hendricks', '03-Mar-1981', '160 Crocket Avenue', 6993714802, 'Europe', 'Bronze', 'Cash');</v>
      </c>
    </row>
    <row r="20" spans="1:17" ht="18" customHeight="1" x14ac:dyDescent="0.25">
      <c r="A20" s="7" t="s">
        <v>4323</v>
      </c>
      <c r="B20" s="13" t="str">
        <f ca="1">IF(r_choice($L$3:$L$4)="M","Mr.","Ms.")</f>
        <v>Ms.</v>
      </c>
      <c r="C20" s="13" t="str">
        <f ca="1">IF(B20="Mr.",r_fname_m(),r_fname_f())</f>
        <v>Kathline</v>
      </c>
      <c r="D20" s="13" t="str">
        <f t="shared" ca="1" si="0"/>
        <v>Guillet</v>
      </c>
      <c r="E20" s="14">
        <f t="shared" ca="1" si="1"/>
        <v>28249</v>
      </c>
      <c r="F20" s="13" t="str">
        <f ca="1">r_integer(1, 200)&amp;" "&amp;r_lname()&amp;" "&amp;r_choice($L$8:$L$12)</f>
        <v>101 Tanner Avenue</v>
      </c>
      <c r="G20" s="15">
        <f t="shared" ca="1" si="2"/>
        <v>6993503708</v>
      </c>
      <c r="H20" s="13" t="str">
        <f ca="1">r_choice($L$16:$L$21)</f>
        <v>Europe</v>
      </c>
      <c r="I20" s="13" t="str">
        <f ca="1">r_choice($L$25:$L$28)</f>
        <v>Gold</v>
      </c>
      <c r="J20" s="13" t="str">
        <f ca="1">r_choice($L$31:$L$33)</f>
        <v>Bank Wire</v>
      </c>
      <c r="L20" s="7" t="s">
        <v>4133</v>
      </c>
      <c r="Q20" t="str">
        <f t="shared" ca="1" si="3"/>
        <v>insert into customers values ('CUS018', 'Mr.', 'Chong', 'Kearney', '24-Dec-1979', '70 Wilford Avenue', 6993841503, 'Asia', 'Bronze', 'Cash');</v>
      </c>
    </row>
    <row r="21" spans="1:17" ht="18" customHeight="1" x14ac:dyDescent="0.25">
      <c r="A21" s="7" t="s">
        <v>4324</v>
      </c>
      <c r="B21" s="13" t="str">
        <f ca="1">IF(r_choice($L$3:$L$4)="M","Mr.","Ms.")</f>
        <v>Ms.</v>
      </c>
      <c r="C21" s="13" t="str">
        <f ca="1">IF(B21="Mr.",r_fname_m(),r_fname_f())</f>
        <v>Shawanda</v>
      </c>
      <c r="D21" s="13" t="str">
        <f t="shared" ca="1" si="0"/>
        <v>Jones</v>
      </c>
      <c r="E21" s="14">
        <f t="shared" ca="1" si="1"/>
        <v>30480</v>
      </c>
      <c r="F21" s="13" t="str">
        <f ca="1">r_integer(1, 200)&amp;" "&amp;r_lname()&amp;" "&amp;r_choice($L$8:$L$12)</f>
        <v>86 Akins Street</v>
      </c>
      <c r="G21" s="15">
        <f t="shared" ca="1" si="2"/>
        <v>6993078334</v>
      </c>
      <c r="H21" s="13" t="str">
        <f ca="1">r_choice($L$16:$L$21)</f>
        <v>North America</v>
      </c>
      <c r="I21" s="13" t="str">
        <f ca="1">r_choice($L$25:$L$28)</f>
        <v>Plantium</v>
      </c>
      <c r="J21" s="13" t="str">
        <f ca="1">r_choice($L$31:$L$33)</f>
        <v>Cash</v>
      </c>
      <c r="L21" s="7" t="s">
        <v>4132</v>
      </c>
      <c r="Q21" t="str">
        <f t="shared" ca="1" si="3"/>
        <v>insert into customers values ('CUS019', 'Ms.', 'Kathline', 'Guillet', '04-May-1977', '101 Tanner Avenue', 6993503708, 'Europe', 'Gold', 'Bank Wire');</v>
      </c>
    </row>
    <row r="22" spans="1:17" ht="18" customHeight="1" x14ac:dyDescent="0.25">
      <c r="A22" s="7" t="s">
        <v>4325</v>
      </c>
      <c r="B22" s="13" t="str">
        <f ca="1">IF(r_choice($L$3:$L$4)="M","Mr.","Ms.")</f>
        <v>Ms.</v>
      </c>
      <c r="C22" s="13" t="str">
        <f ca="1">IF(B22="Mr.",r_fname_m(),r_fname_f())</f>
        <v>Shawanda</v>
      </c>
      <c r="D22" s="13" t="str">
        <f t="shared" ca="1" si="0"/>
        <v>Cantu</v>
      </c>
      <c r="E22" s="14">
        <f t="shared" ca="1" si="1"/>
        <v>28503</v>
      </c>
      <c r="F22" s="13" t="str">
        <f ca="1">r_integer(1, 200)&amp;" "&amp;r_lname()&amp;" "&amp;r_choice($L$8:$L$12)</f>
        <v>157 Cherry Park</v>
      </c>
      <c r="G22" s="15">
        <f t="shared" ca="1" si="2"/>
        <v>6993538308</v>
      </c>
      <c r="H22" s="13" t="str">
        <f ca="1">r_choice($L$16:$L$21)</f>
        <v>Australia</v>
      </c>
      <c r="I22" s="13" t="str">
        <f ca="1">r_choice($L$25:$L$28)</f>
        <v>Bronze</v>
      </c>
      <c r="J22" s="13" t="str">
        <f ca="1">r_choice($L$31:$L$33)</f>
        <v>Credit Card</v>
      </c>
      <c r="Q22" t="str">
        <f t="shared" ca="1" si="3"/>
        <v>insert into customers values ('CUS020', 'Ms.', 'Shawanda', 'Jones', '13-Jun-1983', '86 Akins Street', 6993078334, 'North America', 'Plantium', 'Cash');</v>
      </c>
    </row>
    <row r="23" spans="1:17" ht="18" customHeight="1" x14ac:dyDescent="0.25">
      <c r="A23" s="7" t="s">
        <v>4326</v>
      </c>
      <c r="B23" s="13" t="str">
        <f ca="1">IF(r_choice($L$3:$L$4)="M","Mr.","Ms.")</f>
        <v>Mr.</v>
      </c>
      <c r="C23" s="13" t="str">
        <f ca="1">IF(B23="Mr.",r_fname_m(),r_fname_f())</f>
        <v>Edmundo</v>
      </c>
      <c r="D23" s="13" t="str">
        <f t="shared" ca="1" si="0"/>
        <v>Evans</v>
      </c>
      <c r="E23" s="14">
        <f t="shared" ca="1" si="1"/>
        <v>27935</v>
      </c>
      <c r="F23" s="13" t="str">
        <f ca="1">r_integer(1, 200)&amp;" "&amp;r_lname()&amp;" "&amp;r_choice($L$8:$L$12)</f>
        <v>95 Metz Street</v>
      </c>
      <c r="G23" s="15">
        <f t="shared" ca="1" si="2"/>
        <v>6993591933</v>
      </c>
      <c r="H23" s="13" t="str">
        <f ca="1">r_choice($L$16:$L$21)</f>
        <v>Europe</v>
      </c>
      <c r="I23" s="13" t="str">
        <f ca="1">r_choice($L$25:$L$28)</f>
        <v>Silver</v>
      </c>
      <c r="J23" s="13" t="str">
        <f ca="1">r_choice($L$31:$L$33)</f>
        <v>Bank Wire</v>
      </c>
      <c r="Q23" t="str">
        <f t="shared" ca="1" si="3"/>
        <v>insert into customers values ('CUS021', 'Ms.', 'Shawanda', 'Cantu', '13-Jan-1978', '157 Cherry Park', 6993538308, 'Australia', 'Bronze', 'Credit Card');</v>
      </c>
    </row>
    <row r="24" spans="1:17" ht="18" customHeight="1" x14ac:dyDescent="0.25">
      <c r="A24" s="7" t="s">
        <v>4327</v>
      </c>
      <c r="B24" s="13" t="str">
        <f ca="1">IF(r_choice($L$3:$L$4)="M","Mr.","Ms.")</f>
        <v>Ms.</v>
      </c>
      <c r="C24" s="13" t="str">
        <f ca="1">IF(B24="Mr.",r_fname_m(),r_fname_f())</f>
        <v>Davina</v>
      </c>
      <c r="D24" s="13" t="str">
        <f t="shared" ca="1" si="0"/>
        <v>Shultz</v>
      </c>
      <c r="E24" s="14">
        <f t="shared" ca="1" si="1"/>
        <v>28825</v>
      </c>
      <c r="F24" s="13" t="str">
        <f ca="1">r_integer(1, 200)&amp;" "&amp;r_lname()&amp;" "&amp;r_choice($L$8:$L$12)</f>
        <v>138 Belzer Park</v>
      </c>
      <c r="G24" s="15">
        <f t="shared" ca="1" si="2"/>
        <v>6993885291</v>
      </c>
      <c r="H24" s="13" t="str">
        <f ca="1">r_choice($L$16:$L$21)</f>
        <v>North America</v>
      </c>
      <c r="I24" s="13" t="str">
        <f ca="1">r_choice($L$25:$L$28)</f>
        <v>Gold</v>
      </c>
      <c r="J24" s="13" t="str">
        <f ca="1">r_choice($L$31:$L$33)</f>
        <v>Cash</v>
      </c>
      <c r="L24" s="11" t="s">
        <v>4359</v>
      </c>
      <c r="Q24" t="str">
        <f t="shared" ca="1" si="3"/>
        <v>insert into customers values ('CUS022', 'Mr.', 'Edmundo', 'Evans', '24-Jun-1976', '95 Metz Street', 6993591933, 'Europe', 'Silver', 'Bank Wire');</v>
      </c>
    </row>
    <row r="25" spans="1:17" ht="18" customHeight="1" x14ac:dyDescent="0.25">
      <c r="A25" s="7" t="s">
        <v>4328</v>
      </c>
      <c r="B25" s="13" t="str">
        <f ca="1">IF(r_choice($L$3:$L$4)="M","Mr.","Ms.")</f>
        <v>Ms.</v>
      </c>
      <c r="C25" s="13" t="str">
        <f ca="1">IF(B25="Mr.",r_fname_m(),r_fname_f())</f>
        <v>Dung</v>
      </c>
      <c r="D25" s="13" t="str">
        <f t="shared" ca="1" si="0"/>
        <v>Fassbinder</v>
      </c>
      <c r="E25" s="14">
        <f t="shared" ca="1" si="1"/>
        <v>31770</v>
      </c>
      <c r="F25" s="13" t="str">
        <f ca="1">r_integer(1, 200)&amp;" "&amp;r_lname()&amp;" "&amp;r_choice($L$8:$L$12)</f>
        <v>33 Morris Lane</v>
      </c>
      <c r="G25" s="15">
        <f t="shared" ca="1" si="2"/>
        <v>6993873098</v>
      </c>
      <c r="H25" s="13" t="str">
        <f ca="1">r_choice($L$16:$L$21)</f>
        <v>North America</v>
      </c>
      <c r="I25" s="13" t="str">
        <f ca="1">r_choice($L$25:$L$28)</f>
        <v>Silver</v>
      </c>
      <c r="J25" s="13" t="str">
        <f ca="1">r_choice($L$31:$L$33)</f>
        <v>Credit Card</v>
      </c>
      <c r="L25" s="7" t="s">
        <v>4134</v>
      </c>
      <c r="Q25" t="str">
        <f t="shared" ca="1" si="3"/>
        <v>insert into customers values ('CUS023', 'Ms.', 'Davina', 'Shultz', '01-Dec-1978', '138 Belzer Park', 6993885291, 'North America', 'Gold', 'Cash');</v>
      </c>
    </row>
    <row r="26" spans="1:17" ht="18" customHeight="1" x14ac:dyDescent="0.25">
      <c r="A26" s="7" t="s">
        <v>4329</v>
      </c>
      <c r="B26" s="13" t="str">
        <f ca="1">IF(r_choice($L$3:$L$4)="M","Mr.","Ms.")</f>
        <v>Mr.</v>
      </c>
      <c r="C26" s="13" t="str">
        <f ca="1">IF(B26="Mr.",r_fname_m(),r_fname_f())</f>
        <v>Walton</v>
      </c>
      <c r="D26" s="13" t="str">
        <f t="shared" ca="1" si="0"/>
        <v>Guy</v>
      </c>
      <c r="E26" s="14">
        <f t="shared" ca="1" si="1"/>
        <v>29527</v>
      </c>
      <c r="F26" s="13" t="str">
        <f ca="1">r_integer(1, 200)&amp;" "&amp;r_lname()&amp;" "&amp;r_choice($L$8:$L$12)</f>
        <v>40 Parks Avenue</v>
      </c>
      <c r="G26" s="15">
        <f t="shared" ca="1" si="2"/>
        <v>6993867815</v>
      </c>
      <c r="H26" s="13" t="str">
        <f ca="1">r_choice($L$16:$L$21)</f>
        <v>South America</v>
      </c>
      <c r="I26" s="13" t="str">
        <f ca="1">r_choice($L$25:$L$28)</f>
        <v>Plantium</v>
      </c>
      <c r="J26" s="13" t="str">
        <f ca="1">r_choice($L$31:$L$33)</f>
        <v>Credit Card</v>
      </c>
      <c r="L26" s="7" t="s">
        <v>291</v>
      </c>
      <c r="Q26" t="str">
        <f t="shared" ca="1" si="3"/>
        <v>insert into customers values ('CUS024', 'Ms.', 'Dung', 'Fassbinder', '24-Dec-1986', '33 Morris Lane', 6993873098, 'North America', 'Silver', 'Credit Card');</v>
      </c>
    </row>
    <row r="27" spans="1:17" ht="18" customHeight="1" x14ac:dyDescent="0.25">
      <c r="A27" s="7" t="s">
        <v>4330</v>
      </c>
      <c r="B27" s="13" t="str">
        <f ca="1">IF(r_choice($L$3:$L$4)="M","Mr.","Ms.")</f>
        <v>Mr.</v>
      </c>
      <c r="C27" s="13" t="str">
        <f ca="1">IF(B27="Mr.",r_fname_m(),r_fname_f())</f>
        <v>Lupe</v>
      </c>
      <c r="D27" s="13" t="str">
        <f t="shared" ca="1" si="0"/>
        <v>Cisneros</v>
      </c>
      <c r="E27" s="14">
        <f t="shared" ca="1" si="1"/>
        <v>31291</v>
      </c>
      <c r="F27" s="13" t="str">
        <f ca="1">r_integer(1, 200)&amp;" "&amp;r_lname()&amp;" "&amp;r_choice($L$8:$L$12)</f>
        <v>56 Stark Street</v>
      </c>
      <c r="G27" s="15">
        <f t="shared" ca="1" si="2"/>
        <v>6993100893</v>
      </c>
      <c r="H27" s="13" t="str">
        <f ca="1">r_choice($L$16:$L$21)</f>
        <v>North America</v>
      </c>
      <c r="I27" s="13" t="str">
        <f ca="1">r_choice($L$25:$L$28)</f>
        <v>Plantium</v>
      </c>
      <c r="J27" s="13" t="str">
        <f ca="1">r_choice($L$31:$L$33)</f>
        <v>Credit Card</v>
      </c>
      <c r="L27" s="7" t="s">
        <v>2364</v>
      </c>
      <c r="Q27" t="str">
        <f t="shared" ca="1" si="3"/>
        <v>insert into customers values ('CUS025', 'Mr.', 'Walton', 'Guy', '02-Nov-1980', '40 Parks Avenue', 6993867815, 'South America', 'Plantium', 'Credit Card');</v>
      </c>
    </row>
    <row r="28" spans="1:17" ht="18" customHeight="1" x14ac:dyDescent="0.25">
      <c r="A28" s="7" t="s">
        <v>4331</v>
      </c>
      <c r="B28" s="13" t="str">
        <f ca="1">IF(r_choice($L$3:$L$4)="M","Mr.","Ms.")</f>
        <v>Mr.</v>
      </c>
      <c r="C28" s="13" t="str">
        <f ca="1">IF(B28="Mr.",r_fname_m(),r_fname_f())</f>
        <v>Giovanni</v>
      </c>
      <c r="D28" s="13" t="str">
        <f t="shared" ca="1" si="0"/>
        <v>Do</v>
      </c>
      <c r="E28" s="14">
        <f t="shared" ca="1" si="1"/>
        <v>31647</v>
      </c>
      <c r="F28" s="13" t="str">
        <f ca="1">r_integer(1, 200)&amp;" "&amp;r_lname()&amp;" "&amp;r_choice($L$8:$L$12)</f>
        <v>174 Machado Park</v>
      </c>
      <c r="G28" s="15">
        <f t="shared" ca="1" si="2"/>
        <v>6993549304</v>
      </c>
      <c r="H28" s="13" t="str">
        <f ca="1">r_choice($L$16:$L$21)</f>
        <v>South America</v>
      </c>
      <c r="I28" s="13" t="str">
        <f ca="1">r_choice($L$25:$L$28)</f>
        <v>Silver</v>
      </c>
      <c r="J28" s="13" t="str">
        <f ca="1">r_choice($L$31:$L$33)</f>
        <v>Bank Wire</v>
      </c>
      <c r="L28" s="7" t="s">
        <v>4135</v>
      </c>
      <c r="Q28" t="str">
        <f t="shared" ca="1" si="3"/>
        <v>insert into customers values ('CUS026', 'Mr.', 'Lupe', 'Cisneros', '01-Sep-1985', '56 Stark Street', 6993100893, 'North America', 'Plantium', 'Credit Card');</v>
      </c>
    </row>
    <row r="29" spans="1:17" ht="18" customHeight="1" x14ac:dyDescent="0.25">
      <c r="A29" s="7" t="s">
        <v>4332</v>
      </c>
      <c r="B29" s="13" t="str">
        <f ca="1">IF(r_choice($L$3:$L$4)="M","Mr.","Ms.")</f>
        <v>Mr.</v>
      </c>
      <c r="C29" s="13" t="str">
        <f ca="1">IF(B29="Mr.",r_fname_m(),r_fname_f())</f>
        <v>Korey</v>
      </c>
      <c r="D29" s="13" t="str">
        <f t="shared" ca="1" si="0"/>
        <v>Crouch</v>
      </c>
      <c r="E29" s="14">
        <f t="shared" ca="1" si="1"/>
        <v>29515</v>
      </c>
      <c r="F29" s="13" t="str">
        <f ca="1">r_integer(1, 200)&amp;" "&amp;r_lname()&amp;" "&amp;r_choice($L$8:$L$12)</f>
        <v>55 Doyle Avenue</v>
      </c>
      <c r="G29" s="15">
        <f t="shared" ca="1" si="2"/>
        <v>6993410971</v>
      </c>
      <c r="H29" s="13" t="str">
        <f ca="1">r_choice($L$16:$L$21)</f>
        <v>Africa</v>
      </c>
      <c r="I29" s="13" t="str">
        <f ca="1">r_choice($L$25:$L$28)</f>
        <v>Gold</v>
      </c>
      <c r="J29" s="13" t="str">
        <f ca="1">r_choice($L$31:$L$33)</f>
        <v>Cash</v>
      </c>
      <c r="Q29" t="str">
        <f t="shared" ca="1" si="3"/>
        <v>insert into customers values ('CUS027', 'Mr.', 'Giovanni', 'Do', '23-Aug-1986', '174 Machado Park', 6993549304, 'South America', 'Silver', 'Bank Wire');</v>
      </c>
    </row>
    <row r="30" spans="1:17" ht="18" customHeight="1" x14ac:dyDescent="0.25">
      <c r="A30" s="7" t="s">
        <v>4333</v>
      </c>
      <c r="B30" s="13" t="str">
        <f ca="1">IF(r_choice($L$3:$L$4)="M","Mr.","Ms.")</f>
        <v>Mr.</v>
      </c>
      <c r="C30" s="13" t="str">
        <f ca="1">IF(B30="Mr.",r_fname_m(),r_fname_f())</f>
        <v>Roderick</v>
      </c>
      <c r="D30" s="13" t="str">
        <f t="shared" ca="1" si="0"/>
        <v>Pickerton</v>
      </c>
      <c r="E30" s="14">
        <f t="shared" ca="1" si="1"/>
        <v>30871</v>
      </c>
      <c r="F30" s="13" t="str">
        <f ca="1">r_integer(1, 200)&amp;" "&amp;r_lname()&amp;" "&amp;r_choice($L$8:$L$12)</f>
        <v>42 Gee Lane</v>
      </c>
      <c r="G30" s="15">
        <f t="shared" ca="1" si="2"/>
        <v>6993310278</v>
      </c>
      <c r="H30" s="13" t="str">
        <f ca="1">r_choice($L$16:$L$21)</f>
        <v>South America</v>
      </c>
      <c r="I30" s="13" t="str">
        <f ca="1">r_choice($L$25:$L$28)</f>
        <v>Plantium</v>
      </c>
      <c r="J30" s="13" t="str">
        <f ca="1">r_choice($L$31:$L$33)</f>
        <v>Bank Wire</v>
      </c>
      <c r="L30" s="21" t="s">
        <v>4195</v>
      </c>
      <c r="Q30" t="str">
        <f t="shared" ca="1" si="3"/>
        <v>insert into customers values ('CUS028', 'Mr.', 'Korey', 'Crouch', '21-Oct-1980', '55 Doyle Avenue', 6993410971, 'Africa', 'Gold', 'Cash');</v>
      </c>
    </row>
    <row r="31" spans="1:17" ht="18" customHeight="1" x14ac:dyDescent="0.25">
      <c r="A31" s="7" t="s">
        <v>4334</v>
      </c>
      <c r="B31" s="13" t="str">
        <f ca="1">IF(r_choice($L$3:$L$4)="M","Mr.","Ms.")</f>
        <v>Ms.</v>
      </c>
      <c r="C31" s="13" t="str">
        <f ca="1">IF(B31="Mr.",r_fname_m(),r_fname_f())</f>
        <v>Caroline</v>
      </c>
      <c r="D31" s="13" t="str">
        <f t="shared" ca="1" si="0"/>
        <v>Mcgill</v>
      </c>
      <c r="E31" s="14">
        <f t="shared" ca="1" si="1"/>
        <v>30251</v>
      </c>
      <c r="F31" s="13" t="str">
        <f ca="1">r_integer(1, 200)&amp;" "&amp;r_lname()&amp;" "&amp;r_choice($L$8:$L$12)</f>
        <v>1 Tyson Park</v>
      </c>
      <c r="G31" s="15">
        <f t="shared" ca="1" si="2"/>
        <v>6993621830</v>
      </c>
      <c r="H31" s="13" t="str">
        <f ca="1">r_choice($L$16:$L$21)</f>
        <v>Europe</v>
      </c>
      <c r="I31" s="13" t="str">
        <f ca="1">r_choice($L$25:$L$28)</f>
        <v>Silver</v>
      </c>
      <c r="J31" s="13" t="str">
        <f ca="1">r_choice($L$31:$L$33)</f>
        <v>Bank Wire</v>
      </c>
      <c r="L31" s="17" t="s">
        <v>2026</v>
      </c>
      <c r="Q31" t="str">
        <f t="shared" ca="1" si="3"/>
        <v>insert into customers values ('CUS029', 'Mr.', 'Roderick', 'Pickerton', '08-Jul-1984', '42 Gee Lane', 6993310278, 'South America', 'Plantium', 'Bank Wire');</v>
      </c>
    </row>
    <row r="32" spans="1:17" ht="18" customHeight="1" x14ac:dyDescent="0.25">
      <c r="A32" s="7" t="s">
        <v>4335</v>
      </c>
      <c r="B32" s="13" t="str">
        <f ca="1">IF(r_choice($L$3:$L$4)="M","Mr.","Ms.")</f>
        <v>Mr.</v>
      </c>
      <c r="C32" s="13" t="str">
        <f ca="1">IF(B32="Mr.",r_fname_m(),r_fname_f())</f>
        <v>Amos</v>
      </c>
      <c r="D32" s="13" t="str">
        <f t="shared" ca="1" si="0"/>
        <v>Puccini</v>
      </c>
      <c r="E32" s="14">
        <f t="shared" ca="1" si="1"/>
        <v>27917</v>
      </c>
      <c r="F32" s="13" t="str">
        <f ca="1">r_integer(1, 200)&amp;" "&amp;r_lname()&amp;" "&amp;r_choice($L$8:$L$12)</f>
        <v>102 Gil Park</v>
      </c>
      <c r="G32" s="15">
        <f t="shared" ca="1" si="2"/>
        <v>6993226136</v>
      </c>
      <c r="H32" s="13" t="str">
        <f ca="1">r_choice($L$16:$L$21)</f>
        <v>Australia</v>
      </c>
      <c r="I32" s="13" t="str">
        <f ca="1">r_choice($L$25:$L$28)</f>
        <v>Bronze</v>
      </c>
      <c r="J32" s="13" t="str">
        <f ca="1">r_choice($L$31:$L$33)</f>
        <v>Cash</v>
      </c>
      <c r="L32" s="17" t="s">
        <v>4197</v>
      </c>
      <c r="Q32" t="str">
        <f t="shared" ca="1" si="3"/>
        <v>insert into customers values ('CUS030', 'Ms.', 'Caroline', 'Mcgill', '27-Oct-1982', '1 Tyson Park', 6993621830, 'Europe', 'Silver', 'Bank Wire');</v>
      </c>
    </row>
    <row r="33" spans="1:17" ht="18" customHeight="1" x14ac:dyDescent="0.25">
      <c r="A33" s="7" t="s">
        <v>4336</v>
      </c>
      <c r="B33" s="13" t="str">
        <f ca="1">IF(r_choice($L$3:$L$4)="M","Mr.","Ms.")</f>
        <v>Mr.</v>
      </c>
      <c r="C33" s="13" t="str">
        <f ca="1">IF(B33="Mr.",r_fname_m(),r_fname_f())</f>
        <v>Modesto</v>
      </c>
      <c r="D33" s="13" t="str">
        <f t="shared" ca="1" si="0"/>
        <v>Francisco</v>
      </c>
      <c r="E33" s="14">
        <f t="shared" ca="1" si="1"/>
        <v>31470</v>
      </c>
      <c r="F33" s="13" t="str">
        <f ca="1">r_integer(1, 200)&amp;" "&amp;r_lname()&amp;" "&amp;r_choice($L$8:$L$12)</f>
        <v>12 Pope Lane</v>
      </c>
      <c r="G33" s="15">
        <f t="shared" ca="1" si="2"/>
        <v>6993547547</v>
      </c>
      <c r="H33" s="13" t="str">
        <f ca="1">r_choice($L$16:$L$21)</f>
        <v>North America</v>
      </c>
      <c r="I33" s="13" t="str">
        <f ca="1">r_choice($L$25:$L$28)</f>
        <v>Bronze</v>
      </c>
      <c r="J33" s="13" t="str">
        <f ca="1">r_choice($L$31:$L$33)</f>
        <v>Credit Card</v>
      </c>
      <c r="L33" s="17" t="s">
        <v>4196</v>
      </c>
      <c r="Q33" t="str">
        <f t="shared" ca="1" si="3"/>
        <v>insert into customers values ('CUS031', 'Mr.', 'Amos', 'Puccini', '06-Jun-1976', '102 Gil Park', 6993226136, 'Australia', 'Bronze', 'Cash');</v>
      </c>
    </row>
    <row r="34" spans="1:17" ht="18" customHeight="1" x14ac:dyDescent="0.25">
      <c r="A34" s="7" t="s">
        <v>4337</v>
      </c>
      <c r="B34" s="13" t="str">
        <f ca="1">IF(r_choice($L$3:$L$4)="M","Mr.","Ms.")</f>
        <v>Mr.</v>
      </c>
      <c r="C34" s="13" t="str">
        <f ca="1">IF(B34="Mr.",r_fname_m(),r_fname_f())</f>
        <v>Jeremy</v>
      </c>
      <c r="D34" s="13" t="str">
        <f t="shared" ca="1" si="0"/>
        <v>Cagle</v>
      </c>
      <c r="E34" s="14">
        <f t="shared" ca="1" si="1"/>
        <v>29646</v>
      </c>
      <c r="F34" s="13" t="str">
        <f ca="1">r_integer(1, 200)&amp;" "&amp;r_lname()&amp;" "&amp;r_choice($L$8:$L$12)</f>
        <v>151 Corioli Lane</v>
      </c>
      <c r="G34" s="15">
        <f t="shared" ca="1" si="2"/>
        <v>6993074265</v>
      </c>
      <c r="H34" s="13" t="str">
        <f ca="1">r_choice($L$16:$L$21)</f>
        <v>Asia</v>
      </c>
      <c r="I34" s="13" t="str">
        <f ca="1">r_choice($L$25:$L$28)</f>
        <v>Silver</v>
      </c>
      <c r="J34" s="13" t="str">
        <f ca="1">r_choice($L$31:$L$33)</f>
        <v>Cash</v>
      </c>
      <c r="Q34" t="str">
        <f t="shared" ca="1" si="3"/>
        <v>insert into customers values ('CUS032', 'Mr.', 'Modesto', 'Francisco', '27-Feb-1986', '12 Pope Lane', 6993547547, 'North America', 'Bronze', 'Credit Card');</v>
      </c>
    </row>
    <row r="35" spans="1:17" ht="18" customHeight="1" x14ac:dyDescent="0.25">
      <c r="A35" s="7" t="s">
        <v>4338</v>
      </c>
      <c r="B35" s="13" t="str">
        <f ca="1">IF(r_choice($L$3:$L$4)="M","Mr.","Ms.")</f>
        <v>Mr.</v>
      </c>
      <c r="C35" s="13" t="str">
        <f ca="1">IF(B35="Mr.",r_fname_m(),r_fname_f())</f>
        <v>Kelvin</v>
      </c>
      <c r="D35" s="13" t="str">
        <f t="shared" ca="1" si="0"/>
        <v>Wheeler</v>
      </c>
      <c r="E35" s="14">
        <f t="shared" ref="E35:E51" ca="1" si="4">r_date(1975,1,1987,1)</f>
        <v>27522</v>
      </c>
      <c r="F35" s="13" t="str">
        <f ca="1">r_integer(1, 200)&amp;" "&amp;r_lname()&amp;" "&amp;r_choice($L$8:$L$12)</f>
        <v>166 Maxwell Street</v>
      </c>
      <c r="G35" s="15">
        <f t="shared" ref="G35:G51" ca="1" si="5">r_integer(6993000000,6993999999)</f>
        <v>6993624226</v>
      </c>
      <c r="H35" s="13" t="str">
        <f ca="1">r_choice($L$16:$L$21)</f>
        <v>Australia</v>
      </c>
      <c r="I35" s="13" t="str">
        <f ca="1">r_choice($L$25:$L$28)</f>
        <v>Silver</v>
      </c>
      <c r="J35" s="13" t="str">
        <f ca="1">r_choice($L$31:$L$33)</f>
        <v>Cash</v>
      </c>
      <c r="Q35" t="str">
        <f t="shared" ca="1" si="3"/>
        <v>insert into customers values ('CUS033', 'Mr.', 'Jeremy', 'Cagle', '01-Mar-1981', '151 Corioli Lane', 6993074265, 'Asia', 'Silver', 'Cash');</v>
      </c>
    </row>
    <row r="36" spans="1:17" ht="18" customHeight="1" x14ac:dyDescent="0.25">
      <c r="A36" s="7" t="s">
        <v>4339</v>
      </c>
      <c r="B36" s="13" t="str">
        <f ca="1">IF(r_choice($L$3:$L$4)="M","Mr.","Ms.")</f>
        <v>Ms.</v>
      </c>
      <c r="C36" s="13" t="str">
        <f ca="1">IF(B36="Mr.",r_fname_m(),r_fname_f())</f>
        <v>Bong</v>
      </c>
      <c r="D36" s="13" t="str">
        <f t="shared" ca="1" si="0"/>
        <v>Wooten</v>
      </c>
      <c r="E36" s="14">
        <f t="shared" ca="1" si="4"/>
        <v>31513</v>
      </c>
      <c r="F36" s="13" t="str">
        <f ca="1">r_integer(1, 200)&amp;" "&amp;r_lname()&amp;" "&amp;r_choice($L$8:$L$12)</f>
        <v>181 Tolbert Avenue</v>
      </c>
      <c r="G36" s="15">
        <f t="shared" ca="1" si="5"/>
        <v>6993743790</v>
      </c>
      <c r="H36" s="13" t="str">
        <f ca="1">r_choice($L$16:$L$21)</f>
        <v>North America</v>
      </c>
      <c r="I36" s="13" t="str">
        <f ca="1">r_choice($L$25:$L$28)</f>
        <v>Silver</v>
      </c>
      <c r="J36" s="13" t="str">
        <f ca="1">r_choice($L$31:$L$33)</f>
        <v>Cash</v>
      </c>
      <c r="Q36" t="str">
        <f t="shared" ca="1" si="3"/>
        <v>insert into customers values ('CUS034', 'Mr.', 'Kelvin', 'Wheeler', '08-May-1975', '166 Maxwell Street', 6993624226, 'Australia', 'Silver', 'Cash');</v>
      </c>
    </row>
    <row r="37" spans="1:17" ht="18" customHeight="1" x14ac:dyDescent="0.25">
      <c r="A37" s="7" t="s">
        <v>4340</v>
      </c>
      <c r="B37" s="13" t="str">
        <f ca="1">IF(r_choice($L$3:$L$4)="M","Mr.","Ms.")</f>
        <v>Mr.</v>
      </c>
      <c r="C37" s="13" t="str">
        <f ca="1">IF(B37="Mr.",r_fname_m(),r_fname_f())</f>
        <v>Jules</v>
      </c>
      <c r="D37" s="13" t="str">
        <f t="shared" ca="1" si="0"/>
        <v>Nielsen</v>
      </c>
      <c r="E37" s="14">
        <f t="shared" ca="1" si="4"/>
        <v>28310</v>
      </c>
      <c r="F37" s="13" t="str">
        <f ca="1">r_integer(1, 200)&amp;" "&amp;r_lname()&amp;" "&amp;r_choice($L$8:$L$12)</f>
        <v>27 Parrish Square</v>
      </c>
      <c r="G37" s="15">
        <f t="shared" ca="1" si="5"/>
        <v>6993091178</v>
      </c>
      <c r="H37" s="13" t="str">
        <f ca="1">r_choice($L$16:$L$21)</f>
        <v>Europe</v>
      </c>
      <c r="I37" s="13" t="str">
        <f ca="1">r_choice($L$25:$L$28)</f>
        <v>Silver</v>
      </c>
      <c r="J37" s="13" t="str">
        <f ca="1">r_choice($L$31:$L$33)</f>
        <v>Cash</v>
      </c>
      <c r="Q37" t="str">
        <f t="shared" ca="1" si="3"/>
        <v>insert into customers values ('CUS035', 'Ms.', 'Bong', 'Wooten', '11-Apr-1986', '181 Tolbert Avenue', 6993743790, 'North America', 'Silver', 'Cash');</v>
      </c>
    </row>
    <row r="38" spans="1:17" ht="18" customHeight="1" x14ac:dyDescent="0.25">
      <c r="A38" s="7" t="s">
        <v>4341</v>
      </c>
      <c r="B38" s="13" t="str">
        <f ca="1">IF(r_choice($L$3:$L$4)="M","Mr.","Ms.")</f>
        <v>Mr.</v>
      </c>
      <c r="C38" s="13" t="str">
        <f ca="1">IF(B38="Mr.",r_fname_m(),r_fname_f())</f>
        <v>Marc</v>
      </c>
      <c r="D38" s="13" t="str">
        <f t="shared" ca="1" si="0"/>
        <v>Pierre</v>
      </c>
      <c r="E38" s="14">
        <f t="shared" ca="1" si="4"/>
        <v>31526</v>
      </c>
      <c r="F38" s="13" t="str">
        <f ca="1">r_integer(1, 200)&amp;" "&amp;r_lname()&amp;" "&amp;r_choice($L$8:$L$12)</f>
        <v>53 Corcoran Lane</v>
      </c>
      <c r="G38" s="15">
        <f t="shared" ca="1" si="5"/>
        <v>6993619201</v>
      </c>
      <c r="H38" s="13" t="str">
        <f ca="1">r_choice($L$16:$L$21)</f>
        <v>Australia</v>
      </c>
      <c r="I38" s="13" t="str">
        <f ca="1">r_choice($L$25:$L$28)</f>
        <v>Silver</v>
      </c>
      <c r="J38" s="13" t="str">
        <f ca="1">r_choice($L$31:$L$33)</f>
        <v>Cash</v>
      </c>
      <c r="Q38" t="str">
        <f t="shared" ca="1" si="3"/>
        <v>insert into customers values ('CUS036', 'Mr.', 'Jules', 'Nielsen', '04-Jul-1977', '27 Parrish Square', 6993091178, 'Europe', 'Silver', 'Cash');</v>
      </c>
    </row>
    <row r="39" spans="1:17" ht="18" customHeight="1" x14ac:dyDescent="0.25">
      <c r="A39" s="7" t="s">
        <v>4342</v>
      </c>
      <c r="B39" s="13" t="str">
        <f ca="1">IF(r_choice($L$3:$L$4)="M","Mr.","Ms.")</f>
        <v>Ms.</v>
      </c>
      <c r="C39" s="13" t="str">
        <f ca="1">IF(B39="Mr.",r_fname_m(),r_fname_f())</f>
        <v>Liz</v>
      </c>
      <c r="D39" s="13" t="str">
        <f t="shared" ca="1" si="0"/>
        <v>Kishel</v>
      </c>
      <c r="E39" s="14">
        <f t="shared" ca="1" si="4"/>
        <v>28602</v>
      </c>
      <c r="F39" s="13" t="str">
        <f ca="1">r_integer(1, 200)&amp;" "&amp;r_lname()&amp;" "&amp;r_choice($L$8:$L$12)</f>
        <v>150 Ambrose Square</v>
      </c>
      <c r="G39" s="15">
        <f t="shared" ca="1" si="5"/>
        <v>6993815091</v>
      </c>
      <c r="H39" s="13" t="str">
        <f ca="1">r_choice($L$16:$L$21)</f>
        <v>Australia</v>
      </c>
      <c r="I39" s="13" t="str">
        <f ca="1">r_choice($L$25:$L$28)</f>
        <v>Plantium</v>
      </c>
      <c r="J39" s="13" t="str">
        <f ca="1">r_choice($L$31:$L$33)</f>
        <v>Credit Card</v>
      </c>
      <c r="Q39" t="str">
        <f t="shared" ca="1" si="3"/>
        <v>insert into customers values ('CUS037', 'Mr.', 'Marc', 'Pierre', '24-Apr-1986', '53 Corcoran Lane', 6993619201, 'Australia', 'Silver', 'Cash');</v>
      </c>
    </row>
    <row r="40" spans="1:17" ht="18" customHeight="1" x14ac:dyDescent="0.25">
      <c r="A40" s="7" t="s">
        <v>4343</v>
      </c>
      <c r="B40" s="13" t="str">
        <f ca="1">IF(r_choice($L$3:$L$4)="M","Mr.","Ms.")</f>
        <v>Ms.</v>
      </c>
      <c r="C40" s="13" t="str">
        <f ca="1">IF(B40="Mr.",r_fname_m(),r_fname_f())</f>
        <v>Youlanda</v>
      </c>
      <c r="D40" s="13" t="str">
        <f t="shared" ca="1" si="0"/>
        <v>Salomon</v>
      </c>
      <c r="E40" s="14">
        <f t="shared" ca="1" si="4"/>
        <v>29943</v>
      </c>
      <c r="F40" s="13" t="str">
        <f ca="1">r_integer(1, 200)&amp;" "&amp;r_lname()&amp;" "&amp;r_choice($L$8:$L$12)</f>
        <v>11 Hadley Street</v>
      </c>
      <c r="G40" s="15">
        <f t="shared" ca="1" si="5"/>
        <v>6993191701</v>
      </c>
      <c r="H40" s="13" t="str">
        <f ca="1">r_choice($L$16:$L$21)</f>
        <v>Asia</v>
      </c>
      <c r="I40" s="13" t="str">
        <f ca="1">r_choice($L$25:$L$28)</f>
        <v>Plantium</v>
      </c>
      <c r="J40" s="13" t="str">
        <f ca="1">r_choice($L$31:$L$33)</f>
        <v>Credit Card</v>
      </c>
      <c r="Q40" t="str">
        <f t="shared" ca="1" si="3"/>
        <v>insert into customers values ('CUS038', 'Ms.', 'Liz', 'Kishel', '22-Apr-1978', '150 Ambrose Square', 6993815091, 'Australia', 'Plantium', 'Credit Card');</v>
      </c>
    </row>
    <row r="41" spans="1:17" ht="18" customHeight="1" x14ac:dyDescent="0.25">
      <c r="A41" s="7" t="s">
        <v>4344</v>
      </c>
      <c r="B41" s="13" t="str">
        <f ca="1">IF(r_choice($L$3:$L$4)="M","Mr.","Ms.")</f>
        <v>Ms.</v>
      </c>
      <c r="C41" s="13" t="str">
        <f ca="1">IF(B41="Mr.",r_fname_m(),r_fname_f())</f>
        <v>Niesha</v>
      </c>
      <c r="D41" s="13" t="str">
        <f t="shared" ca="1" si="0"/>
        <v>Fermi</v>
      </c>
      <c r="E41" s="14">
        <f t="shared" ca="1" si="4"/>
        <v>29567</v>
      </c>
      <c r="F41" s="13" t="str">
        <f ca="1">r_integer(1, 200)&amp;" "&amp;r_lname()&amp;" "&amp;r_choice($L$8:$L$12)</f>
        <v>138 Hopkins Square</v>
      </c>
      <c r="G41" s="15">
        <f t="shared" ca="1" si="5"/>
        <v>6993125841</v>
      </c>
      <c r="H41" s="13" t="str">
        <f ca="1">r_choice($L$16:$L$21)</f>
        <v>Australia</v>
      </c>
      <c r="I41" s="13" t="str">
        <f ca="1">r_choice($L$25:$L$28)</f>
        <v>Silver</v>
      </c>
      <c r="J41" s="13" t="str">
        <f ca="1">r_choice($L$31:$L$33)</f>
        <v>Bank Wire</v>
      </c>
      <c r="Q41" t="str">
        <f t="shared" ca="1" si="3"/>
        <v>insert into customers values ('CUS039', 'Ms.', 'Youlanda', 'Salomon', '23-Dec-1981', '11 Hadley Street', 6993191701, 'Asia', 'Plantium', 'Credit Card');</v>
      </c>
    </row>
    <row r="42" spans="1:17" ht="18" customHeight="1" x14ac:dyDescent="0.25">
      <c r="A42" s="7" t="s">
        <v>4345</v>
      </c>
      <c r="B42" s="13" t="str">
        <f ca="1">IF(r_choice($L$3:$L$4)="M","Mr.","Ms.")</f>
        <v>Ms.</v>
      </c>
      <c r="C42" s="13" t="str">
        <f ca="1">IF(B42="Mr.",r_fname_m(),r_fname_f())</f>
        <v>Evelyne</v>
      </c>
      <c r="D42" s="13" t="str">
        <f t="shared" ca="1" si="0"/>
        <v>Stinson</v>
      </c>
      <c r="E42" s="14">
        <f t="shared" ca="1" si="4"/>
        <v>31659</v>
      </c>
      <c r="F42" s="13" t="str">
        <f ca="1">r_integer(1, 200)&amp;" "&amp;r_lname()&amp;" "&amp;r_choice($L$8:$L$12)</f>
        <v>98 DeWine Park</v>
      </c>
      <c r="G42" s="15">
        <f t="shared" ca="1" si="5"/>
        <v>6993216147</v>
      </c>
      <c r="H42" s="13" t="str">
        <f ca="1">r_choice($L$16:$L$21)</f>
        <v>Europe</v>
      </c>
      <c r="I42" s="13" t="str">
        <f ca="1">r_choice($L$25:$L$28)</f>
        <v>Plantium</v>
      </c>
      <c r="J42" s="13" t="str">
        <f ca="1">r_choice($L$31:$L$33)</f>
        <v>Cash</v>
      </c>
      <c r="Q42" t="str">
        <f t="shared" ca="1" si="3"/>
        <v>insert into customers values ('CUS040', 'Ms.', 'Niesha', 'Fermi', '12-Dec-1980', '138 Hopkins Square', 6993125841, 'Australia', 'Silver', 'Bank Wire');</v>
      </c>
    </row>
    <row r="43" spans="1:17" ht="18" customHeight="1" x14ac:dyDescent="0.25">
      <c r="A43" s="7" t="s">
        <v>4346</v>
      </c>
      <c r="B43" s="13" t="str">
        <f ca="1">IF(r_choice($L$3:$L$4)="M","Mr.","Ms.")</f>
        <v>Mr.</v>
      </c>
      <c r="C43" s="13" t="str">
        <f ca="1">IF(B43="Mr.",r_fname_m(),r_fname_f())</f>
        <v>Chip</v>
      </c>
      <c r="D43" s="13" t="str">
        <f t="shared" ca="1" si="0"/>
        <v>Newsome</v>
      </c>
      <c r="E43" s="14">
        <f t="shared" ca="1" si="4"/>
        <v>31048</v>
      </c>
      <c r="F43" s="13" t="str">
        <f ca="1">r_integer(1, 200)&amp;" "&amp;r_lname()&amp;" "&amp;r_choice($L$8:$L$12)</f>
        <v>159 Berger Park</v>
      </c>
      <c r="G43" s="15">
        <f t="shared" ca="1" si="5"/>
        <v>6993461942</v>
      </c>
      <c r="H43" s="13" t="str">
        <f ca="1">r_choice($L$16:$L$21)</f>
        <v>Asia</v>
      </c>
      <c r="I43" s="13" t="str">
        <f ca="1">r_choice($L$25:$L$28)</f>
        <v>Plantium</v>
      </c>
      <c r="J43" s="13" t="str">
        <f ca="1">r_choice($L$31:$L$33)</f>
        <v>Bank Wire</v>
      </c>
      <c r="Q43" t="str">
        <f t="shared" ca="1" si="3"/>
        <v>insert into customers values ('CUS041', 'Ms.', 'Evelyne', 'Stinson', '04-Sep-1986', '98 DeWine Park', 6993216147, 'Europe', 'Plantium', 'Cash');</v>
      </c>
    </row>
    <row r="44" spans="1:17" ht="18" customHeight="1" x14ac:dyDescent="0.25">
      <c r="A44" s="7" t="s">
        <v>4347</v>
      </c>
      <c r="B44" s="13" t="str">
        <f ca="1">IF(r_choice($L$3:$L$4)="M","Mr.","Ms.")</f>
        <v>Ms.</v>
      </c>
      <c r="C44" s="13" t="str">
        <f ca="1">IF(B44="Mr.",r_fname_m(),r_fname_f())</f>
        <v>Andrea</v>
      </c>
      <c r="D44" s="13" t="str">
        <f t="shared" ca="1" si="0"/>
        <v>Kendall</v>
      </c>
      <c r="E44" s="14">
        <f t="shared" ca="1" si="4"/>
        <v>28567</v>
      </c>
      <c r="F44" s="13" t="str">
        <f ca="1">r_integer(1, 200)&amp;" "&amp;r_lname()&amp;" "&amp;r_choice($L$8:$L$12)</f>
        <v>47 Ward Avenue</v>
      </c>
      <c r="G44" s="15">
        <f t="shared" ca="1" si="5"/>
        <v>6993530334</v>
      </c>
      <c r="H44" s="13" t="str">
        <f ca="1">r_choice($L$16:$L$21)</f>
        <v>South America</v>
      </c>
      <c r="I44" s="13" t="str">
        <f ca="1">r_choice($L$25:$L$28)</f>
        <v>Gold</v>
      </c>
      <c r="J44" s="13" t="str">
        <f ca="1">r_choice($L$31:$L$33)</f>
        <v>Credit Card</v>
      </c>
      <c r="Q44" t="str">
        <f t="shared" ca="1" si="3"/>
        <v>insert into customers values ('CUS042', 'Mr.', 'Chip', 'Newsome', '01-Jan-1985', '159 Berger Park', 6993461942, 'Asia', 'Plantium', 'Bank Wire');</v>
      </c>
    </row>
    <row r="45" spans="1:17" ht="18" customHeight="1" x14ac:dyDescent="0.25">
      <c r="A45" s="7" t="s">
        <v>4348</v>
      </c>
      <c r="B45" s="13" t="str">
        <f ca="1">IF(r_choice($L$3:$L$4)="M","Mr.","Ms.")</f>
        <v>Mr.</v>
      </c>
      <c r="C45" s="13" t="str">
        <f ca="1">IF(B45="Mr.",r_fname_m(),r_fname_f())</f>
        <v>Theo</v>
      </c>
      <c r="D45" s="13" t="str">
        <f t="shared" ca="1" si="0"/>
        <v>Zuniga</v>
      </c>
      <c r="E45" s="14">
        <f t="shared" ca="1" si="4"/>
        <v>27740</v>
      </c>
      <c r="F45" s="13" t="str">
        <f ca="1">r_integer(1, 200)&amp;" "&amp;r_lname()&amp;" "&amp;r_choice($L$8:$L$12)</f>
        <v>39 Dunham Square</v>
      </c>
      <c r="G45" s="15">
        <f t="shared" ca="1" si="5"/>
        <v>6993165559</v>
      </c>
      <c r="H45" s="13" t="str">
        <f ca="1">r_choice($L$16:$L$21)</f>
        <v>Asia</v>
      </c>
      <c r="I45" s="13" t="str">
        <f ca="1">r_choice($L$25:$L$28)</f>
        <v>Plantium</v>
      </c>
      <c r="J45" s="13" t="str">
        <f ca="1">r_choice($L$31:$L$33)</f>
        <v>Credit Card</v>
      </c>
      <c r="Q45" t="str">
        <f t="shared" ca="1" si="3"/>
        <v>insert into customers values ('CUS043', 'Ms.', 'Andrea', 'Kendall', '18-Mar-1978', '47 Ward Avenue', 6993530334, 'South America', 'Gold', 'Credit Card');</v>
      </c>
    </row>
    <row r="46" spans="1:17" ht="18" customHeight="1" x14ac:dyDescent="0.25">
      <c r="A46" s="7" t="s">
        <v>4349</v>
      </c>
      <c r="B46" s="13" t="str">
        <f ca="1">IF(r_choice($L$3:$L$4)="M","Mr.","Ms.")</f>
        <v>Ms.</v>
      </c>
      <c r="C46" s="13" t="str">
        <f ca="1">IF(B46="Mr.",r_fname_m(),r_fname_f())</f>
        <v>Emilia</v>
      </c>
      <c r="D46" s="13" t="str">
        <f t="shared" ca="1" si="0"/>
        <v>Chacon</v>
      </c>
      <c r="E46" s="14">
        <f t="shared" ca="1" si="4"/>
        <v>27909</v>
      </c>
      <c r="F46" s="13" t="str">
        <f ca="1">r_integer(1, 200)&amp;" "&amp;r_lname()&amp;" "&amp;r_choice($L$8:$L$12)</f>
        <v>120 Lund Avenue</v>
      </c>
      <c r="G46" s="15">
        <f t="shared" ca="1" si="5"/>
        <v>6993006657</v>
      </c>
      <c r="H46" s="13" t="str">
        <f ca="1">r_choice($L$16:$L$21)</f>
        <v>North America</v>
      </c>
      <c r="I46" s="13" t="str">
        <f ca="1">r_choice($L$25:$L$28)</f>
        <v>Silver</v>
      </c>
      <c r="J46" s="13" t="str">
        <f ca="1">r_choice($L$31:$L$33)</f>
        <v>Credit Card</v>
      </c>
      <c r="Q46" t="str">
        <f t="shared" ca="1" si="3"/>
        <v>insert into customers values ('CUS044', 'Mr.', 'Theo', 'Zuniga', '12-Dec-1975', '39 Dunham Square', 6993165559, 'Asia', 'Plantium', 'Credit Card');</v>
      </c>
    </row>
    <row r="47" spans="1:17" ht="18" customHeight="1" x14ac:dyDescent="0.25">
      <c r="A47" s="7" t="s">
        <v>4350</v>
      </c>
      <c r="B47" s="13" t="str">
        <f ca="1">IF(r_choice($L$3:$L$4)="M","Mr.","Ms.")</f>
        <v>Ms.</v>
      </c>
      <c r="C47" s="13" t="str">
        <f ca="1">IF(B47="Mr.",r_fname_m(),r_fname_f())</f>
        <v>Nita</v>
      </c>
      <c r="D47" s="13" t="str">
        <f t="shared" ca="1" si="0"/>
        <v>Thorpe</v>
      </c>
      <c r="E47" s="14">
        <f t="shared" ca="1" si="4"/>
        <v>30961</v>
      </c>
      <c r="F47" s="13" t="str">
        <f ca="1">r_integer(1, 200)&amp;" "&amp;r_lname()&amp;" "&amp;r_choice($L$8:$L$12)</f>
        <v>92 Culver Street</v>
      </c>
      <c r="G47" s="15">
        <f t="shared" ca="1" si="5"/>
        <v>6993664478</v>
      </c>
      <c r="H47" s="13" t="str">
        <f ca="1">r_choice($L$16:$L$21)</f>
        <v>South America</v>
      </c>
      <c r="I47" s="13" t="str">
        <f ca="1">r_choice($L$25:$L$28)</f>
        <v>Silver</v>
      </c>
      <c r="J47" s="13" t="str">
        <f ca="1">r_choice($L$31:$L$33)</f>
        <v>Cash</v>
      </c>
      <c r="Q47" t="str">
        <f t="shared" ca="1" si="3"/>
        <v>insert into customers values ('CUS045', 'Ms.', 'Emilia', 'Chacon', '29-May-1976', '120 Lund Avenue', 6993006657, 'North America', 'Silver', 'Credit Card');</v>
      </c>
    </row>
    <row r="48" spans="1:17" ht="18" customHeight="1" x14ac:dyDescent="0.25">
      <c r="A48" s="7" t="s">
        <v>4351</v>
      </c>
      <c r="B48" s="13" t="str">
        <f ca="1">IF(r_choice($L$3:$L$4)="M","Mr.","Ms.")</f>
        <v>Mr.</v>
      </c>
      <c r="C48" s="13" t="str">
        <f ca="1">IF(B48="Mr.",r_fname_m(),r_fname_f())</f>
        <v>Woodrow</v>
      </c>
      <c r="D48" s="13" t="str">
        <f t="shared" ca="1" si="0"/>
        <v>Hope</v>
      </c>
      <c r="E48" s="14">
        <f t="shared" ca="1" si="4"/>
        <v>29669</v>
      </c>
      <c r="F48" s="13" t="str">
        <f ca="1">r_integer(1, 200)&amp;" "&amp;r_lname()&amp;" "&amp;r_choice($L$8:$L$12)</f>
        <v>111 Grand Square</v>
      </c>
      <c r="G48" s="15">
        <f t="shared" ca="1" si="5"/>
        <v>6993974794</v>
      </c>
      <c r="H48" s="13" t="str">
        <f ca="1">r_choice($L$16:$L$21)</f>
        <v>North America</v>
      </c>
      <c r="I48" s="13" t="str">
        <f ca="1">r_choice($L$25:$L$28)</f>
        <v>Bronze</v>
      </c>
      <c r="J48" s="13" t="str">
        <f ca="1">r_choice($L$31:$L$33)</f>
        <v>Credit Card</v>
      </c>
      <c r="Q48" t="str">
        <f t="shared" ca="1" si="3"/>
        <v>insert into customers values ('CUS046', 'Ms.', 'Nita', 'Thorpe', '06-Oct-1984', '92 Culver Street', 6993664478, 'South America', 'Silver', 'Cash');</v>
      </c>
    </row>
    <row r="49" spans="1:17" ht="18" customHeight="1" x14ac:dyDescent="0.25">
      <c r="A49" s="7" t="s">
        <v>4352</v>
      </c>
      <c r="B49" s="13" t="str">
        <f ca="1">IF(r_choice($L$3:$L$4)="M","Mr.","Ms.")</f>
        <v>Ms.</v>
      </c>
      <c r="C49" s="13" t="str">
        <f ca="1">IF(B49="Mr.",r_fname_m(),r_fname_f())</f>
        <v>Mina</v>
      </c>
      <c r="D49" s="13" t="str">
        <f t="shared" ca="1" si="0"/>
        <v>Batiste</v>
      </c>
      <c r="E49" s="14">
        <f t="shared" ca="1" si="4"/>
        <v>29999</v>
      </c>
      <c r="F49" s="13" t="str">
        <f ca="1">r_integer(1, 200)&amp;" "&amp;r_lname()&amp;" "&amp;r_choice($L$8:$L$12)</f>
        <v>38 Wolfgang Square</v>
      </c>
      <c r="G49" s="15">
        <f t="shared" ca="1" si="5"/>
        <v>6993147491</v>
      </c>
      <c r="H49" s="13" t="str">
        <f ca="1">r_choice($L$16:$L$21)</f>
        <v>Asia</v>
      </c>
      <c r="I49" s="13" t="str">
        <f ca="1">r_choice($L$25:$L$28)</f>
        <v>Silver</v>
      </c>
      <c r="J49" s="13" t="str">
        <f ca="1">r_choice($L$31:$L$33)</f>
        <v>Bank Wire</v>
      </c>
      <c r="Q49" t="str">
        <f t="shared" ca="1" si="3"/>
        <v>insert into customers values ('CUS047', 'Mr.', 'Woodrow', 'Hope', '24-Mar-1981', '111 Grand Square', 6993974794, 'North America', 'Bronze', 'Credit Card');</v>
      </c>
    </row>
    <row r="50" spans="1:17" ht="18" customHeight="1" x14ac:dyDescent="0.25">
      <c r="A50" s="7" t="s">
        <v>4353</v>
      </c>
      <c r="B50" s="13" t="str">
        <f ca="1">IF(r_choice($L$3:$L$4)="M","Mr.","Ms.")</f>
        <v>Mr.</v>
      </c>
      <c r="C50" s="13" t="str">
        <f ca="1">IF(B50="Mr.",r_fname_m(),r_fname_f())</f>
        <v>Justin</v>
      </c>
      <c r="D50" s="13" t="str">
        <f t="shared" ca="1" si="0"/>
        <v>Guilderstern</v>
      </c>
      <c r="E50" s="14">
        <f t="shared" ca="1" si="4"/>
        <v>28793</v>
      </c>
      <c r="F50" s="13" t="str">
        <f ca="1">r_integer(1, 200)&amp;" "&amp;r_lname()&amp;" "&amp;r_choice($L$8:$L$12)</f>
        <v>8 Little Park</v>
      </c>
      <c r="G50" s="15">
        <f t="shared" ca="1" si="5"/>
        <v>6993802535</v>
      </c>
      <c r="H50" s="13" t="str">
        <f ca="1">r_choice($L$16:$L$21)</f>
        <v>Asia</v>
      </c>
      <c r="I50" s="13" t="str">
        <f ca="1">r_choice($L$25:$L$28)</f>
        <v>Silver</v>
      </c>
      <c r="J50" s="13" t="str">
        <f ca="1">r_choice($L$31:$L$33)</f>
        <v>Cash</v>
      </c>
      <c r="Q50" t="str">
        <f t="shared" ca="1" si="3"/>
        <v>insert into customers values ('CUS048', 'Ms.', 'Mina', 'Batiste', '17-Feb-1982', '38 Wolfgang Square', 6993147491, 'Asia', 'Silver', 'Bank Wire');</v>
      </c>
    </row>
    <row r="51" spans="1:17" ht="18" customHeight="1" x14ac:dyDescent="0.25">
      <c r="A51" s="7" t="s">
        <v>4354</v>
      </c>
      <c r="B51" s="13" t="str">
        <f ca="1">IF(r_choice($L$3:$L$4)="M","Mr.","Ms.")</f>
        <v>Ms.</v>
      </c>
      <c r="C51" s="13" t="str">
        <f ca="1">IF(B51="Mr.",r_fname_m(),r_fname_f())</f>
        <v>Kathi</v>
      </c>
      <c r="D51" s="13" t="str">
        <f t="shared" ca="1" si="0"/>
        <v>James</v>
      </c>
      <c r="E51" s="14">
        <f t="shared" ca="1" si="4"/>
        <v>31407</v>
      </c>
      <c r="F51" s="13" t="str">
        <f ca="1">r_integer(1, 200)&amp;" "&amp;r_lname()&amp;" "&amp;r_choice($L$8:$L$12)</f>
        <v>115 Best Park</v>
      </c>
      <c r="G51" s="15">
        <f t="shared" ca="1" si="5"/>
        <v>6993305916</v>
      </c>
      <c r="H51" s="13" t="str">
        <f ca="1">r_choice($L$16:$L$21)</f>
        <v>North America</v>
      </c>
      <c r="I51" s="13" t="str">
        <f ca="1">r_choice($L$25:$L$28)</f>
        <v>Plantium</v>
      </c>
      <c r="J51" s="13" t="str">
        <f ca="1">r_choice($L$31:$L$33)</f>
        <v>Credit Card</v>
      </c>
      <c r="Q51" t="str">
        <f t="shared" ca="1" si="3"/>
        <v>insert into customers values ('CUS049', 'Mr.', 'Justin', 'Guilderstern', '30-Oct-1978', '8 Little Park', 6993802535, 'Asia', 'Silver', 'Cash');</v>
      </c>
    </row>
    <row r="52" spans="1:17" ht="18" customHeight="1" x14ac:dyDescent="0.25">
      <c r="G52" s="3"/>
      <c r="I52" s="4"/>
      <c r="Q52" t="str">
        <f t="shared" ca="1" si="3"/>
        <v>insert into customers values ('CUS050', 'Ms.', 'Kathi', 'James', '26-Dec-1985', '115 Best Park', 6993305916, 'North America', 'Plantium', 'Credit Card');</v>
      </c>
    </row>
    <row r="53" spans="1:17" ht="18" customHeight="1" x14ac:dyDescent="0.25">
      <c r="B53" s="2"/>
      <c r="C53" s="2"/>
      <c r="D53" s="2"/>
      <c r="E53" s="2"/>
      <c r="F53" s="2"/>
      <c r="G53" s="2"/>
      <c r="H53" s="2"/>
      <c r="I53" s="2"/>
      <c r="J53" s="2"/>
      <c r="K53" s="2"/>
    </row>
    <row r="54" spans="1:17" ht="18" customHeight="1" x14ac:dyDescent="0.25">
      <c r="K54" s="2"/>
    </row>
    <row r="55" spans="1:17" ht="18" customHeight="1" x14ac:dyDescent="0.25">
      <c r="K55" s="2"/>
    </row>
    <row r="56" spans="1:17" ht="18" customHeight="1" x14ac:dyDescent="0.25">
      <c r="K56" s="2"/>
    </row>
    <row r="57" spans="1:17" ht="18" customHeight="1" x14ac:dyDescent="0.25">
      <c r="K57" s="2"/>
    </row>
    <row r="58" spans="1:17" ht="18" customHeight="1" x14ac:dyDescent="0.25">
      <c r="K58" s="2"/>
    </row>
    <row r="59" spans="1:17" ht="18" customHeight="1" x14ac:dyDescent="0.25">
      <c r="K59" s="2"/>
    </row>
    <row r="60" spans="1:17" ht="18" customHeight="1" x14ac:dyDescent="0.25">
      <c r="K60" s="2"/>
    </row>
    <row r="61" spans="1:17" ht="18" customHeight="1" x14ac:dyDescent="0.25">
      <c r="K61" s="2"/>
    </row>
    <row r="62" spans="1:17" ht="18" customHeight="1" x14ac:dyDescent="0.25">
      <c r="K62" s="2"/>
    </row>
    <row r="63" spans="1:17" ht="18" customHeight="1" x14ac:dyDescent="0.25"/>
    <row r="64" spans="1:17" ht="18" customHeight="1" x14ac:dyDescent="0.25"/>
  </sheetData>
  <phoneticPr fontId="2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24"/>
  <sheetViews>
    <sheetView zoomScale="80" zoomScaleNormal="80" workbookViewId="0">
      <selection activeCell="L3" sqref="L3:L14"/>
    </sheetView>
  </sheetViews>
  <sheetFormatPr defaultRowHeight="13.2" x14ac:dyDescent="0.25"/>
  <cols>
    <col min="1" max="1" width="16.109375" bestFit="1" customWidth="1"/>
    <col min="2" max="2" width="11.6640625" bestFit="1" customWidth="1"/>
    <col min="3" max="3" width="15.44140625" bestFit="1" customWidth="1"/>
    <col min="4" max="4" width="10.21875" bestFit="1" customWidth="1"/>
    <col min="5" max="5" width="11.109375" bestFit="1" customWidth="1"/>
    <col min="6" max="6" width="13.21875" style="4" bestFit="1" customWidth="1"/>
    <col min="7" max="7" width="17.88671875" bestFit="1" customWidth="1"/>
    <col min="8" max="8" width="7.33203125" bestFit="1" customWidth="1"/>
    <col min="9" max="9" width="7.77734375" bestFit="1" customWidth="1"/>
    <col min="10" max="10" width="6.44140625" bestFit="1" customWidth="1"/>
    <col min="12" max="12" width="81.77734375" customWidth="1"/>
  </cols>
  <sheetData>
    <row r="1" spans="1:12" ht="18" customHeight="1" x14ac:dyDescent="0.25">
      <c r="A1" s="11" t="s">
        <v>4136</v>
      </c>
      <c r="B1" s="11" t="s">
        <v>4374</v>
      </c>
      <c r="C1" s="11" t="s">
        <v>4106</v>
      </c>
      <c r="D1" s="10" t="s">
        <v>4375</v>
      </c>
      <c r="E1" s="10" t="s">
        <v>1171</v>
      </c>
    </row>
    <row r="2" spans="1:12" ht="18" customHeight="1" x14ac:dyDescent="0.25">
      <c r="A2" s="7" t="s">
        <v>4362</v>
      </c>
      <c r="B2" s="7" t="str">
        <f>$I$4</f>
        <v>Shirt</v>
      </c>
      <c r="C2" s="18" t="str">
        <f t="shared" ref="C2:C7" si="0">G3</f>
        <v>Summer 2014</v>
      </c>
      <c r="D2" s="15">
        <f ca="1">r_integer(5,10)</f>
        <v>6</v>
      </c>
      <c r="E2" s="15">
        <f ca="1">r_integer(20,40)</f>
        <v>30</v>
      </c>
      <c r="F2"/>
      <c r="G2" s="21" t="s">
        <v>4106</v>
      </c>
      <c r="I2" s="28" t="s">
        <v>4137</v>
      </c>
      <c r="J2" s="28"/>
      <c r="L2" s="7" t="s">
        <v>4122</v>
      </c>
    </row>
    <row r="3" spans="1:12" ht="18" customHeight="1" x14ac:dyDescent="0.25">
      <c r="A3" s="7" t="s">
        <v>4363</v>
      </c>
      <c r="B3" s="7" t="str">
        <f>$I$4</f>
        <v>Shirt</v>
      </c>
      <c r="C3" s="18" t="str">
        <f t="shared" si="0"/>
        <v>Summer 2015</v>
      </c>
      <c r="D3" s="15">
        <f ca="1">r_integer(5,10)</f>
        <v>6</v>
      </c>
      <c r="E3" s="15">
        <f ca="1">r_integer(20,40)</f>
        <v>30</v>
      </c>
      <c r="F3"/>
      <c r="G3" s="17" t="s">
        <v>4379</v>
      </c>
      <c r="I3" s="7" t="s">
        <v>4114</v>
      </c>
      <c r="J3" s="7" t="s">
        <v>1955</v>
      </c>
      <c r="L3" t="str">
        <f t="shared" ref="L3:L14" ca="1" si="1">insertinto(A2:E2,$G$10:$H$14, "products")</f>
        <v>insert into products values ('PRD001', 'Shirt', 'Summer 2014', 6, 30);</v>
      </c>
    </row>
    <row r="4" spans="1:12" ht="18" customHeight="1" x14ac:dyDescent="0.25">
      <c r="A4" s="7" t="s">
        <v>4364</v>
      </c>
      <c r="B4" s="7" t="str">
        <f>$I$4</f>
        <v>Shirt</v>
      </c>
      <c r="C4" s="18" t="str">
        <f t="shared" si="0"/>
        <v>Summer 2016</v>
      </c>
      <c r="D4" s="15">
        <f ca="1">r_integer(5,10)</f>
        <v>8</v>
      </c>
      <c r="E4" s="15">
        <f ca="1">r_integer(20,40)</f>
        <v>22</v>
      </c>
      <c r="F4"/>
      <c r="G4" s="17" t="s">
        <v>4380</v>
      </c>
      <c r="I4" s="7" t="s">
        <v>4139</v>
      </c>
      <c r="J4" s="7" t="s">
        <v>4138</v>
      </c>
      <c r="L4" t="str">
        <f t="shared" ca="1" si="1"/>
        <v>insert into products values ('PRD002', 'Shirt', 'Summer 2015', 6, 30);</v>
      </c>
    </row>
    <row r="5" spans="1:12" ht="18" customHeight="1" x14ac:dyDescent="0.25">
      <c r="A5" s="7" t="s">
        <v>4365</v>
      </c>
      <c r="B5" s="7" t="str">
        <f>$J$4</f>
        <v>Jacket</v>
      </c>
      <c r="C5" s="18" t="str">
        <f t="shared" si="0"/>
        <v>Winter 2014</v>
      </c>
      <c r="D5" s="15">
        <f ca="1">r_integer(40,50)</f>
        <v>42</v>
      </c>
      <c r="E5" s="15">
        <f ca="1">r_integer(70,100)</f>
        <v>72</v>
      </c>
      <c r="F5"/>
      <c r="G5" s="17" t="s">
        <v>4381</v>
      </c>
      <c r="I5" s="7" t="s">
        <v>4141</v>
      </c>
      <c r="J5" s="7" t="s">
        <v>4140</v>
      </c>
      <c r="L5" t="str">
        <f t="shared" ca="1" si="1"/>
        <v>insert into products values ('PRD003', 'Shirt', 'Summer 2016', 8, 22);</v>
      </c>
    </row>
    <row r="6" spans="1:12" ht="18" customHeight="1" x14ac:dyDescent="0.25">
      <c r="A6" s="7" t="s">
        <v>4366</v>
      </c>
      <c r="B6" s="7" t="str">
        <f>$J$4</f>
        <v>Jacket</v>
      </c>
      <c r="C6" s="18" t="str">
        <f t="shared" si="0"/>
        <v>Winter 2015</v>
      </c>
      <c r="D6" s="15">
        <f ca="1">r_integer(40,50)</f>
        <v>48</v>
      </c>
      <c r="E6" s="15">
        <f ca="1">r_integer(70,100)</f>
        <v>95</v>
      </c>
      <c r="F6"/>
      <c r="G6" s="17" t="s">
        <v>4382</v>
      </c>
      <c r="L6" t="str">
        <f t="shared" ca="1" si="1"/>
        <v>insert into products values ('PRD004', 'Jacket', 'Winter 2014', 42, 72);</v>
      </c>
    </row>
    <row r="7" spans="1:12" ht="18" customHeight="1" x14ac:dyDescent="0.25">
      <c r="A7" s="7" t="s">
        <v>4367</v>
      </c>
      <c r="B7" s="7" t="str">
        <f>$J$4</f>
        <v>Jacket</v>
      </c>
      <c r="C7" s="18" t="str">
        <f t="shared" si="0"/>
        <v>Winter 2016</v>
      </c>
      <c r="D7" s="15">
        <f ca="1">r_integer(40,50)</f>
        <v>50</v>
      </c>
      <c r="E7" s="15">
        <f ca="1">r_integer(70,100)</f>
        <v>74</v>
      </c>
      <c r="F7"/>
      <c r="G7" s="17" t="s">
        <v>4383</v>
      </c>
      <c r="L7" t="str">
        <f t="shared" ca="1" si="1"/>
        <v>insert into products values ('PRD005', 'Jacket', 'Winter 2015', 48, 95);</v>
      </c>
    </row>
    <row r="8" spans="1:12" ht="18" customHeight="1" x14ac:dyDescent="0.25">
      <c r="A8" s="7" t="s">
        <v>4368</v>
      </c>
      <c r="B8" s="13" t="str">
        <f>$I$5</f>
        <v>Shoes</v>
      </c>
      <c r="C8" s="18" t="str">
        <f t="shared" ref="C8:C13" si="2">G3</f>
        <v>Summer 2014</v>
      </c>
      <c r="D8" s="15">
        <f ca="1">r_integer(15,25)</f>
        <v>23</v>
      </c>
      <c r="E8" s="15">
        <f ca="1">r_integer(40,60)</f>
        <v>58</v>
      </c>
      <c r="F8"/>
      <c r="G8" s="17" t="s">
        <v>4384</v>
      </c>
      <c r="L8" t="str">
        <f t="shared" ca="1" si="1"/>
        <v>insert into products values ('PRD006', 'Jacket', 'Winter 2016', 50, 74);</v>
      </c>
    </row>
    <row r="9" spans="1:12" ht="18" customHeight="1" x14ac:dyDescent="0.25">
      <c r="A9" s="7" t="s">
        <v>4369</v>
      </c>
      <c r="B9" s="13" t="str">
        <f>$I$5</f>
        <v>Shoes</v>
      </c>
      <c r="C9" s="18" t="str">
        <f t="shared" si="2"/>
        <v>Summer 2015</v>
      </c>
      <c r="D9" s="15">
        <f ca="1">r_integer(15,25)</f>
        <v>19</v>
      </c>
      <c r="E9" s="15">
        <f ca="1">r_integer(40,60)</f>
        <v>40</v>
      </c>
      <c r="F9"/>
      <c r="L9" t="str">
        <f t="shared" ca="1" si="1"/>
        <v>insert into products values ('PRD007', 'Shoes', 'Summer 2014', 23, 58);</v>
      </c>
    </row>
    <row r="10" spans="1:12" ht="18" customHeight="1" x14ac:dyDescent="0.25">
      <c r="A10" s="7" t="s">
        <v>4370</v>
      </c>
      <c r="B10" s="13" t="str">
        <f>$I$5</f>
        <v>Shoes</v>
      </c>
      <c r="C10" s="18" t="str">
        <f t="shared" si="2"/>
        <v>Summer 2016</v>
      </c>
      <c r="D10" s="15">
        <f ca="1">r_integer(15,25)</f>
        <v>25</v>
      </c>
      <c r="E10" s="15">
        <f ca="1">r_integer(40,60)</f>
        <v>49</v>
      </c>
      <c r="F10"/>
      <c r="G10" s="11" t="s">
        <v>4136</v>
      </c>
      <c r="H10" s="7" t="s">
        <v>4119</v>
      </c>
      <c r="L10" t="str">
        <f t="shared" ca="1" si="1"/>
        <v>insert into products values ('PRD008', 'Shoes', 'Summer 2015', 19, 40);</v>
      </c>
    </row>
    <row r="11" spans="1:12" ht="18" customHeight="1" x14ac:dyDescent="0.25">
      <c r="A11" s="7" t="s">
        <v>4371</v>
      </c>
      <c r="B11" s="13" t="str">
        <f>$J$5</f>
        <v>Suits</v>
      </c>
      <c r="C11" s="18" t="str">
        <f t="shared" si="2"/>
        <v>Winter 2014</v>
      </c>
      <c r="D11" s="15">
        <f ca="1">r_integer(20,40)</f>
        <v>21</v>
      </c>
      <c r="E11" s="15">
        <f ca="1">r_integer(60,100)</f>
        <v>95</v>
      </c>
      <c r="F11"/>
      <c r="G11" s="11" t="s">
        <v>4374</v>
      </c>
      <c r="H11" s="7" t="s">
        <v>4119</v>
      </c>
      <c r="L11" t="str">
        <f t="shared" ca="1" si="1"/>
        <v>insert into products values ('PRD009', 'Shoes', 'Summer 2016', 25, 49);</v>
      </c>
    </row>
    <row r="12" spans="1:12" ht="18" customHeight="1" x14ac:dyDescent="0.25">
      <c r="A12" s="7" t="s">
        <v>4372</v>
      </c>
      <c r="B12" s="13" t="str">
        <f>$J$5</f>
        <v>Suits</v>
      </c>
      <c r="C12" s="18" t="str">
        <f t="shared" si="2"/>
        <v>Winter 2015</v>
      </c>
      <c r="D12" s="15">
        <f ca="1">r_integer(20,40)</f>
        <v>22</v>
      </c>
      <c r="E12" s="15">
        <f ca="1">r_integer(60,100)</f>
        <v>79</v>
      </c>
      <c r="F12"/>
      <c r="G12" s="11" t="s">
        <v>4106</v>
      </c>
      <c r="H12" s="7" t="s">
        <v>4119</v>
      </c>
      <c r="L12" t="str">
        <f t="shared" ca="1" si="1"/>
        <v>insert into products values ('PRD010', 'Suits', 'Winter 2014', 21, 95);</v>
      </c>
    </row>
    <row r="13" spans="1:12" ht="18" customHeight="1" x14ac:dyDescent="0.25">
      <c r="A13" s="7" t="s">
        <v>4373</v>
      </c>
      <c r="B13" s="13" t="str">
        <f>$J$5</f>
        <v>Suits</v>
      </c>
      <c r="C13" s="18" t="str">
        <f t="shared" si="2"/>
        <v>Winter 2016</v>
      </c>
      <c r="D13" s="15">
        <f ca="1">r_integer(20,40)</f>
        <v>26</v>
      </c>
      <c r="E13" s="15">
        <f ca="1">r_integer(60,100)</f>
        <v>72</v>
      </c>
      <c r="F13"/>
      <c r="G13" s="10" t="s">
        <v>4375</v>
      </c>
      <c r="H13" s="7" t="s">
        <v>4121</v>
      </c>
      <c r="L13" t="str">
        <f t="shared" ca="1" si="1"/>
        <v>insert into products values ('PRD011', 'Suits', 'Winter 2015', 22, 79);</v>
      </c>
    </row>
    <row r="14" spans="1:12" ht="18" customHeight="1" x14ac:dyDescent="0.25">
      <c r="F14"/>
      <c r="G14" s="10" t="s">
        <v>1171</v>
      </c>
      <c r="H14" s="7" t="s">
        <v>4121</v>
      </c>
      <c r="L14" t="str">
        <f t="shared" ca="1" si="1"/>
        <v>insert into products values ('PRD012', 'Suits', 'Winter 2016', 26, 72);</v>
      </c>
    </row>
    <row r="15" spans="1:12" ht="18" customHeight="1" x14ac:dyDescent="0.25"/>
    <row r="16" spans="1:12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</sheetData>
  <mergeCells count="1">
    <mergeCell ref="I2:J2"/>
  </mergeCells>
  <phoneticPr fontId="2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53"/>
  <sheetViews>
    <sheetView zoomScale="80" zoomScaleNormal="80" workbookViewId="0">
      <selection activeCell="L3" sqref="L3:L52"/>
    </sheetView>
  </sheetViews>
  <sheetFormatPr defaultRowHeight="18" customHeight="1" x14ac:dyDescent="0.25"/>
  <cols>
    <col min="1" max="1" width="14.33203125" bestFit="1" customWidth="1"/>
    <col min="2" max="2" width="17.6640625" bestFit="1" customWidth="1"/>
    <col min="3" max="3" width="17.33203125" bestFit="1" customWidth="1"/>
    <col min="4" max="4" width="15.109375" bestFit="1" customWidth="1"/>
    <col min="5" max="5" width="17.88671875" style="8" bestFit="1" customWidth="1"/>
    <col min="6" max="6" width="23.77734375" bestFit="1" customWidth="1"/>
    <col min="7" max="7" width="26.77734375" bestFit="1" customWidth="1"/>
    <col min="8" max="9" width="21.21875" bestFit="1" customWidth="1"/>
    <col min="10" max="10" width="7.33203125" bestFit="1" customWidth="1"/>
    <col min="11" max="11" width="14.109375" bestFit="1" customWidth="1"/>
    <col min="12" max="12" width="87.21875" bestFit="1" customWidth="1"/>
  </cols>
  <sheetData>
    <row r="1" spans="1:12" ht="18" customHeight="1" x14ac:dyDescent="0.25">
      <c r="A1" s="11" t="s">
        <v>4142</v>
      </c>
      <c r="B1" s="11" t="s">
        <v>4127</v>
      </c>
      <c r="C1" s="25" t="s">
        <v>4193</v>
      </c>
      <c r="D1" s="11" t="s">
        <v>4385</v>
      </c>
      <c r="E1" s="11" t="s">
        <v>4194</v>
      </c>
      <c r="F1" s="11" t="s">
        <v>4202</v>
      </c>
      <c r="G1" s="11" t="s">
        <v>4203</v>
      </c>
    </row>
    <row r="2" spans="1:12" ht="18" customHeight="1" x14ac:dyDescent="0.25">
      <c r="A2" s="7" t="s">
        <v>4143</v>
      </c>
      <c r="B2" s="7" t="str">
        <f>Customers!A2</f>
        <v>CUS001</v>
      </c>
      <c r="C2" s="26">
        <f t="shared" ref="C2:C51" ca="1" si="0">r_date(2016,1,2021,1)</f>
        <v>43200</v>
      </c>
      <c r="D2" s="7" t="str">
        <f ca="1">r_choice($I$9:$I$11)</f>
        <v>Cash</v>
      </c>
      <c r="E2" s="7" t="str">
        <f ca="1">r_choice($I$4:$I$6)</f>
        <v>Shipped</v>
      </c>
      <c r="F2" s="7">
        <f t="shared" ref="F2:G21" ca="1" si="1">r_integer(400,500)</f>
        <v>444</v>
      </c>
      <c r="G2" s="7">
        <f t="shared" ca="1" si="1"/>
        <v>416</v>
      </c>
      <c r="L2" s="7" t="s">
        <v>4122</v>
      </c>
    </row>
    <row r="3" spans="1:12" ht="18" customHeight="1" x14ac:dyDescent="0.25">
      <c r="A3" s="7" t="s">
        <v>4144</v>
      </c>
      <c r="B3" s="7" t="str">
        <f>Customers!A3</f>
        <v>CUS002</v>
      </c>
      <c r="C3" s="26">
        <f t="shared" ca="1" si="0"/>
        <v>43658</v>
      </c>
      <c r="D3" s="7" t="str">
        <f ca="1">r_choice($I$9:$I$11)</f>
        <v>Bank Wire</v>
      </c>
      <c r="E3" s="7" t="str">
        <f ca="1">r_choice($I$4:$I$6)</f>
        <v>Not ready to ship</v>
      </c>
      <c r="F3" s="7">
        <f t="shared" ca="1" si="1"/>
        <v>492</v>
      </c>
      <c r="G3" s="7">
        <f t="shared" ca="1" si="1"/>
        <v>443</v>
      </c>
      <c r="I3" s="21" t="s">
        <v>4194</v>
      </c>
      <c r="L3" t="str">
        <f t="shared" ref="L3:L34" ca="1" si="2">insertinto(A2:G2,$I$15:$J$21, "orders")</f>
        <v>insert into orders values ('OID001', 'CUS001', '10-Apr-2018', 'Cash', 'Shipped', 444, 416);</v>
      </c>
    </row>
    <row r="4" spans="1:12" ht="18" customHeight="1" x14ac:dyDescent="0.25">
      <c r="A4" s="7" t="s">
        <v>4145</v>
      </c>
      <c r="B4" s="7" t="str">
        <f>Customers!A4</f>
        <v>CUS003</v>
      </c>
      <c r="C4" s="26">
        <f t="shared" ca="1" si="0"/>
        <v>42789</v>
      </c>
      <c r="D4" s="7" t="str">
        <f ca="1">r_choice($I$9:$I$11)</f>
        <v>Credit Card</v>
      </c>
      <c r="E4" s="7" t="str">
        <f ca="1">r_choice($I$4:$I$6)</f>
        <v>Ready to ship</v>
      </c>
      <c r="F4" s="7">
        <f t="shared" ca="1" si="1"/>
        <v>439</v>
      </c>
      <c r="G4" s="7">
        <f t="shared" ca="1" si="1"/>
        <v>451</v>
      </c>
      <c r="I4" s="17" t="s">
        <v>4198</v>
      </c>
      <c r="L4" t="str">
        <f t="shared" ca="1" si="2"/>
        <v>insert into orders values ('OID002', 'CUS002', '12-Jul-2019', 'Bank Wire', 'Not ready to ship', 492, 443);</v>
      </c>
    </row>
    <row r="5" spans="1:12" ht="18" customHeight="1" x14ac:dyDescent="0.25">
      <c r="A5" s="7" t="s">
        <v>4146</v>
      </c>
      <c r="B5" s="7" t="str">
        <f>Customers!A5</f>
        <v>CUS004</v>
      </c>
      <c r="C5" s="26">
        <f t="shared" ca="1" si="0"/>
        <v>43251</v>
      </c>
      <c r="D5" s="7" t="str">
        <f ca="1">r_choice($I$9:$I$11)</f>
        <v>Credit Card</v>
      </c>
      <c r="E5" s="7" t="str">
        <f ca="1">r_choice($I$4:$I$6)</f>
        <v>Shipped</v>
      </c>
      <c r="F5" s="7">
        <f t="shared" ca="1" si="1"/>
        <v>491</v>
      </c>
      <c r="G5" s="7">
        <f t="shared" ca="1" si="1"/>
        <v>471</v>
      </c>
      <c r="I5" s="17" t="s">
        <v>4199</v>
      </c>
      <c r="L5" t="str">
        <f t="shared" ca="1" si="2"/>
        <v>insert into orders values ('OID003', 'CUS003', '23-Feb-2017', 'Credit Card', 'Ready to ship', 439, 451);</v>
      </c>
    </row>
    <row r="6" spans="1:12" ht="18" customHeight="1" x14ac:dyDescent="0.25">
      <c r="A6" s="7" t="s">
        <v>4147</v>
      </c>
      <c r="B6" s="7" t="str">
        <f>Customers!A6</f>
        <v>CUS005</v>
      </c>
      <c r="C6" s="26">
        <f ca="1">r_date(2016,1,2021,1)</f>
        <v>43867</v>
      </c>
      <c r="D6" s="7" t="str">
        <f ca="1">r_choice($I$9:$I$11)</f>
        <v>Cash</v>
      </c>
      <c r="E6" s="7" t="str">
        <f ca="1">r_choice($I$4:$I$6)</f>
        <v>Ready to ship</v>
      </c>
      <c r="F6" s="7">
        <f t="shared" ca="1" si="1"/>
        <v>458</v>
      </c>
      <c r="G6" s="7">
        <f t="shared" ca="1" si="1"/>
        <v>490</v>
      </c>
      <c r="I6" s="17" t="s">
        <v>4204</v>
      </c>
      <c r="L6" t="str">
        <f t="shared" ca="1" si="2"/>
        <v>insert into orders values ('OID004', 'CUS004', '31-May-2018', 'Credit Card', 'Shipped', 491, 471);</v>
      </c>
    </row>
    <row r="7" spans="1:12" ht="18" customHeight="1" x14ac:dyDescent="0.25">
      <c r="A7" s="7" t="s">
        <v>4148</v>
      </c>
      <c r="B7" s="7" t="str">
        <f>Customers!A7</f>
        <v>CUS006</v>
      </c>
      <c r="C7" s="26">
        <f t="shared" ca="1" si="0"/>
        <v>42451</v>
      </c>
      <c r="D7" s="7" t="str">
        <f ca="1">r_choice($I$9:$I$11)</f>
        <v>Credit Card</v>
      </c>
      <c r="E7" s="7" t="str">
        <f ca="1">r_choice($I$4:$I$6)</f>
        <v>Ready to ship</v>
      </c>
      <c r="F7" s="7">
        <f t="shared" ca="1" si="1"/>
        <v>481</v>
      </c>
      <c r="G7" s="7">
        <f t="shared" ca="1" si="1"/>
        <v>404</v>
      </c>
      <c r="L7" t="str">
        <f t="shared" ca="1" si="2"/>
        <v>insert into orders values ('OID005', 'CUS005', '06-Feb-2020', 'Cash', 'Ready to ship', 458, 490);</v>
      </c>
    </row>
    <row r="8" spans="1:12" ht="18" customHeight="1" x14ac:dyDescent="0.25">
      <c r="A8" s="7" t="s">
        <v>4149</v>
      </c>
      <c r="B8" s="7" t="str">
        <f>Customers!A8</f>
        <v>CUS007</v>
      </c>
      <c r="C8" s="26">
        <f t="shared" ca="1" si="0"/>
        <v>42793</v>
      </c>
      <c r="D8" s="7" t="str">
        <f ca="1">r_choice($I$9:$I$11)</f>
        <v>Cash</v>
      </c>
      <c r="E8" s="7" t="str">
        <f ca="1">r_choice($I$4:$I$6)</f>
        <v>Shipped</v>
      </c>
      <c r="F8" s="7">
        <f t="shared" ca="1" si="1"/>
        <v>427</v>
      </c>
      <c r="G8" s="7">
        <f t="shared" ca="1" si="1"/>
        <v>406</v>
      </c>
      <c r="I8" s="21" t="s">
        <v>4195</v>
      </c>
      <c r="L8" t="str">
        <f t="shared" ca="1" si="2"/>
        <v>insert into orders values ('OID006', 'CUS006', '22-Mar-2016', 'Credit Card', 'Ready to ship', 481, 404);</v>
      </c>
    </row>
    <row r="9" spans="1:12" ht="18" customHeight="1" x14ac:dyDescent="0.25">
      <c r="A9" s="7" t="s">
        <v>4150</v>
      </c>
      <c r="B9" s="7" t="str">
        <f>Customers!A9</f>
        <v>CUS008</v>
      </c>
      <c r="C9" s="26">
        <f t="shared" ca="1" si="0"/>
        <v>44170</v>
      </c>
      <c r="D9" s="7" t="str">
        <f ca="1">r_choice($I$9:$I$11)</f>
        <v>Bank Wire</v>
      </c>
      <c r="E9" s="7" t="str">
        <f ca="1">r_choice($I$4:$I$6)</f>
        <v>Ready to ship</v>
      </c>
      <c r="F9" s="7">
        <f t="shared" ca="1" si="1"/>
        <v>477</v>
      </c>
      <c r="G9" s="7">
        <f t="shared" ca="1" si="1"/>
        <v>486</v>
      </c>
      <c r="I9" s="17" t="s">
        <v>4196</v>
      </c>
      <c r="L9" t="str">
        <f t="shared" ca="1" si="2"/>
        <v>insert into orders values ('OID007', 'CUS007', '27-Feb-2017', 'Cash', 'Shipped', 427, 406);</v>
      </c>
    </row>
    <row r="10" spans="1:12" ht="18" customHeight="1" x14ac:dyDescent="0.25">
      <c r="A10" s="7" t="s">
        <v>4151</v>
      </c>
      <c r="B10" s="7" t="str">
        <f>Customers!A10</f>
        <v>CUS009</v>
      </c>
      <c r="C10" s="26">
        <f t="shared" ca="1" si="0"/>
        <v>44079</v>
      </c>
      <c r="D10" s="7" t="str">
        <f ca="1">r_choice($I$9:$I$11)</f>
        <v>Bank Wire</v>
      </c>
      <c r="E10" s="7" t="str">
        <f ca="1">r_choice($I$4:$I$6)</f>
        <v>Ready to ship</v>
      </c>
      <c r="F10" s="7">
        <f t="shared" ca="1" si="1"/>
        <v>428</v>
      </c>
      <c r="G10" s="7">
        <f t="shared" ca="1" si="1"/>
        <v>406</v>
      </c>
      <c r="I10" s="17" t="s">
        <v>2026</v>
      </c>
      <c r="L10" t="str">
        <f t="shared" ca="1" si="2"/>
        <v>insert into orders values ('OID008', 'CUS008', '05-Dec-2020', 'Bank Wire', 'Ready to ship', 477, 486);</v>
      </c>
    </row>
    <row r="11" spans="1:12" ht="18" customHeight="1" x14ac:dyDescent="0.25">
      <c r="A11" s="7" t="s">
        <v>4152</v>
      </c>
      <c r="B11" s="7" t="str">
        <f>Customers!A11</f>
        <v>CUS010</v>
      </c>
      <c r="C11" s="26">
        <f t="shared" ca="1" si="0"/>
        <v>43148</v>
      </c>
      <c r="D11" s="7" t="str">
        <f ca="1">r_choice($I$9:$I$11)</f>
        <v>Cash</v>
      </c>
      <c r="E11" s="7" t="str">
        <f ca="1">r_choice($I$4:$I$6)</f>
        <v>Ready to ship</v>
      </c>
      <c r="F11" s="7">
        <f t="shared" ca="1" si="1"/>
        <v>476</v>
      </c>
      <c r="G11" s="7">
        <f t="shared" ca="1" si="1"/>
        <v>468</v>
      </c>
      <c r="I11" s="17" t="s">
        <v>4197</v>
      </c>
      <c r="L11" t="str">
        <f t="shared" ca="1" si="2"/>
        <v>insert into orders values ('OID009', 'CUS009', '05-Sep-2020', 'Bank Wire', 'Ready to ship', 428, 406);</v>
      </c>
    </row>
    <row r="12" spans="1:12" ht="18" customHeight="1" x14ac:dyDescent="0.25">
      <c r="A12" s="7" t="s">
        <v>4153</v>
      </c>
      <c r="B12" s="7" t="str">
        <f>Customers!A12</f>
        <v>CUS011</v>
      </c>
      <c r="C12" s="26">
        <f t="shared" ca="1" si="0"/>
        <v>42969</v>
      </c>
      <c r="D12" s="7" t="str">
        <f ca="1">r_choice($I$9:$I$11)</f>
        <v>Bank Wire</v>
      </c>
      <c r="E12" s="7" t="str">
        <f ca="1">r_choice($I$4:$I$6)</f>
        <v>Ready to ship</v>
      </c>
      <c r="F12" s="7">
        <f t="shared" ca="1" si="1"/>
        <v>480</v>
      </c>
      <c r="G12" s="7">
        <f t="shared" ca="1" si="1"/>
        <v>469</v>
      </c>
      <c r="L12" t="str">
        <f t="shared" ca="1" si="2"/>
        <v>insert into orders values ('OID010', 'CUS010', '17-Feb-2018', 'Cash', 'Ready to ship', 476, 468);</v>
      </c>
    </row>
    <row r="13" spans="1:12" ht="18" customHeight="1" x14ac:dyDescent="0.25">
      <c r="A13" s="7" t="s">
        <v>4154</v>
      </c>
      <c r="B13" s="7" t="str">
        <f>Customers!A13</f>
        <v>CUS012</v>
      </c>
      <c r="C13" s="26">
        <f t="shared" ca="1" si="0"/>
        <v>43904</v>
      </c>
      <c r="D13" s="7" t="str">
        <f ca="1">r_choice($I$9:$I$11)</f>
        <v>Cash</v>
      </c>
      <c r="E13" s="7" t="str">
        <f ca="1">r_choice($I$4:$I$6)</f>
        <v>Not ready to ship</v>
      </c>
      <c r="F13" s="7">
        <f t="shared" ca="1" si="1"/>
        <v>489</v>
      </c>
      <c r="G13" s="7">
        <f t="shared" ca="1" si="1"/>
        <v>411</v>
      </c>
      <c r="L13" t="str">
        <f t="shared" ca="1" si="2"/>
        <v>insert into orders values ('OID011', 'CUS011', '22-Aug-2017', 'Bank Wire', 'Ready to ship', 480, 469);</v>
      </c>
    </row>
    <row r="14" spans="1:12" ht="18" customHeight="1" x14ac:dyDescent="0.25">
      <c r="A14" s="7" t="s">
        <v>4155</v>
      </c>
      <c r="B14" s="7" t="str">
        <f>Customers!A14</f>
        <v>CUS013</v>
      </c>
      <c r="C14" s="26">
        <f t="shared" ca="1" si="0"/>
        <v>43374</v>
      </c>
      <c r="D14" s="7" t="str">
        <f ca="1">r_choice($I$9:$I$11)</f>
        <v>Cash</v>
      </c>
      <c r="E14" s="7" t="str">
        <f ca="1">r_choice($I$4:$I$6)</f>
        <v>Ready to ship</v>
      </c>
      <c r="F14" s="7">
        <f t="shared" ca="1" si="1"/>
        <v>460</v>
      </c>
      <c r="G14" s="7">
        <f t="shared" ca="1" si="1"/>
        <v>448</v>
      </c>
      <c r="L14" t="str">
        <f t="shared" ca="1" si="2"/>
        <v>insert into orders values ('OID012', 'CUS012', '14-Mar-2020', 'Cash', 'Not ready to ship', 489, 411);</v>
      </c>
    </row>
    <row r="15" spans="1:12" ht="18" customHeight="1" x14ac:dyDescent="0.25">
      <c r="A15" s="7" t="s">
        <v>4156</v>
      </c>
      <c r="B15" s="7" t="str">
        <f>Customers!A15</f>
        <v>CUS014</v>
      </c>
      <c r="C15" s="26">
        <f t="shared" ca="1" si="0"/>
        <v>43891</v>
      </c>
      <c r="D15" s="7" t="str">
        <f ca="1">r_choice($I$9:$I$11)</f>
        <v>Bank Wire</v>
      </c>
      <c r="E15" s="7" t="str">
        <f ca="1">r_choice($I$4:$I$6)</f>
        <v>Ready to ship</v>
      </c>
      <c r="F15" s="7">
        <f t="shared" ca="1" si="1"/>
        <v>415</v>
      </c>
      <c r="G15" s="7">
        <f t="shared" ca="1" si="1"/>
        <v>445</v>
      </c>
      <c r="I15" s="11" t="s">
        <v>4142</v>
      </c>
      <c r="J15" s="7" t="s">
        <v>4119</v>
      </c>
      <c r="L15" t="str">
        <f t="shared" ca="1" si="2"/>
        <v>insert into orders values ('OID013', 'CUS013', '01-Oct-2018', 'Cash', 'Ready to ship', 460, 448);</v>
      </c>
    </row>
    <row r="16" spans="1:12" ht="18" customHeight="1" x14ac:dyDescent="0.25">
      <c r="A16" s="7" t="s">
        <v>4157</v>
      </c>
      <c r="B16" s="7" t="str">
        <f>Customers!A16</f>
        <v>CUS015</v>
      </c>
      <c r="C16" s="26">
        <f t="shared" ca="1" si="0"/>
        <v>42409</v>
      </c>
      <c r="D16" s="7" t="str">
        <f ca="1">r_choice($I$9:$I$11)</f>
        <v>Bank Wire</v>
      </c>
      <c r="E16" s="7" t="str">
        <f ca="1">r_choice($I$4:$I$6)</f>
        <v>Shipped</v>
      </c>
      <c r="F16" s="7">
        <f t="shared" ca="1" si="1"/>
        <v>474</v>
      </c>
      <c r="G16" s="7">
        <f t="shared" ca="1" si="1"/>
        <v>472</v>
      </c>
      <c r="I16" s="11" t="s">
        <v>4127</v>
      </c>
      <c r="J16" s="7" t="s">
        <v>4119</v>
      </c>
      <c r="L16" t="str">
        <f t="shared" ca="1" si="2"/>
        <v>insert into orders values ('OID014', 'CUS014', '01-Mar-2020', 'Bank Wire', 'Ready to ship', 415, 445);</v>
      </c>
    </row>
    <row r="17" spans="1:12" ht="18" customHeight="1" x14ac:dyDescent="0.25">
      <c r="A17" s="7" t="s">
        <v>4158</v>
      </c>
      <c r="B17" s="7" t="str">
        <f>Customers!A17</f>
        <v>CUS016</v>
      </c>
      <c r="C17" s="26">
        <f t="shared" ca="1" si="0"/>
        <v>43775</v>
      </c>
      <c r="D17" s="7" t="str">
        <f ca="1">r_choice($I$9:$I$11)</f>
        <v>Credit Card</v>
      </c>
      <c r="E17" s="7" t="str">
        <f ca="1">r_choice($I$4:$I$6)</f>
        <v>Shipped</v>
      </c>
      <c r="F17" s="7">
        <f t="shared" ca="1" si="1"/>
        <v>462</v>
      </c>
      <c r="G17" s="7">
        <f t="shared" ca="1" si="1"/>
        <v>481</v>
      </c>
      <c r="I17" s="25" t="s">
        <v>4193</v>
      </c>
      <c r="J17" s="7" t="s">
        <v>4120</v>
      </c>
      <c r="L17" t="str">
        <f t="shared" ca="1" si="2"/>
        <v>insert into orders values ('OID015', 'CUS015', '09-Feb-2016', 'Bank Wire', 'Shipped', 474, 472);</v>
      </c>
    </row>
    <row r="18" spans="1:12" ht="18" customHeight="1" x14ac:dyDescent="0.25">
      <c r="A18" s="7" t="s">
        <v>4159</v>
      </c>
      <c r="B18" s="7" t="str">
        <f>Customers!A18</f>
        <v>CUS017</v>
      </c>
      <c r="C18" s="26">
        <f t="shared" ca="1" si="0"/>
        <v>43865</v>
      </c>
      <c r="D18" s="7" t="str">
        <f ca="1">r_choice($I$9:$I$11)</f>
        <v>Cash</v>
      </c>
      <c r="E18" s="7" t="str">
        <f ca="1">r_choice($I$4:$I$6)</f>
        <v>Shipped</v>
      </c>
      <c r="F18" s="7">
        <f t="shared" ca="1" si="1"/>
        <v>496</v>
      </c>
      <c r="G18" s="7">
        <f t="shared" ca="1" si="1"/>
        <v>500</v>
      </c>
      <c r="I18" s="11" t="s">
        <v>4385</v>
      </c>
      <c r="J18" s="7" t="s">
        <v>4119</v>
      </c>
      <c r="L18" t="str">
        <f t="shared" ca="1" si="2"/>
        <v>insert into orders values ('OID016', 'CUS016', '06-Nov-2019', 'Credit Card', 'Shipped', 462, 481);</v>
      </c>
    </row>
    <row r="19" spans="1:12" ht="18" customHeight="1" x14ac:dyDescent="0.25">
      <c r="A19" s="7" t="s">
        <v>4160</v>
      </c>
      <c r="B19" s="7" t="str">
        <f>Customers!A19</f>
        <v>CUS018</v>
      </c>
      <c r="C19" s="26">
        <f t="shared" ca="1" si="0"/>
        <v>42494</v>
      </c>
      <c r="D19" s="7" t="str">
        <f ca="1">r_choice($I$9:$I$11)</f>
        <v>Cash</v>
      </c>
      <c r="E19" s="7" t="str">
        <f ca="1">r_choice($I$4:$I$6)</f>
        <v>Not ready to ship</v>
      </c>
      <c r="F19" s="7">
        <f t="shared" ca="1" si="1"/>
        <v>448</v>
      </c>
      <c r="G19" s="7">
        <f t="shared" ca="1" si="1"/>
        <v>427</v>
      </c>
      <c r="I19" s="11" t="s">
        <v>4194</v>
      </c>
      <c r="J19" s="7" t="s">
        <v>4119</v>
      </c>
      <c r="L19" t="str">
        <f t="shared" ca="1" si="2"/>
        <v>insert into orders values ('OID017', 'CUS017', '04-Feb-2020', 'Cash', 'Shipped', 496, 500);</v>
      </c>
    </row>
    <row r="20" spans="1:12" ht="18" customHeight="1" x14ac:dyDescent="0.25">
      <c r="A20" s="7" t="s">
        <v>4161</v>
      </c>
      <c r="B20" s="7" t="str">
        <f>Customers!A20</f>
        <v>CUS019</v>
      </c>
      <c r="C20" s="26">
        <f t="shared" ca="1" si="0"/>
        <v>43954</v>
      </c>
      <c r="D20" s="7" t="str">
        <f ca="1">r_choice($I$9:$I$11)</f>
        <v>Credit Card</v>
      </c>
      <c r="E20" s="7" t="str">
        <f ca="1">r_choice($I$4:$I$6)</f>
        <v>Not ready to ship</v>
      </c>
      <c r="F20" s="7">
        <f t="shared" ca="1" si="1"/>
        <v>412</v>
      </c>
      <c r="G20" s="7">
        <f t="shared" ca="1" si="1"/>
        <v>496</v>
      </c>
      <c r="I20" s="11" t="s">
        <v>4202</v>
      </c>
      <c r="J20" s="7" t="s">
        <v>4121</v>
      </c>
      <c r="L20" t="str">
        <f t="shared" ca="1" si="2"/>
        <v>insert into orders values ('OID018', 'CUS018', '04-May-2016', 'Cash', 'Not ready to ship', 448, 427);</v>
      </c>
    </row>
    <row r="21" spans="1:12" ht="18" customHeight="1" x14ac:dyDescent="0.25">
      <c r="A21" s="7" t="s">
        <v>4162</v>
      </c>
      <c r="B21" s="7" t="str">
        <f>Customers!A21</f>
        <v>CUS020</v>
      </c>
      <c r="C21" s="26">
        <f t="shared" ca="1" si="0"/>
        <v>42772</v>
      </c>
      <c r="D21" s="7" t="str">
        <f ca="1">r_choice($I$9:$I$11)</f>
        <v>Bank Wire</v>
      </c>
      <c r="E21" s="7" t="str">
        <f ca="1">r_choice($I$4:$I$6)</f>
        <v>Shipped</v>
      </c>
      <c r="F21" s="7">
        <f t="shared" ca="1" si="1"/>
        <v>490</v>
      </c>
      <c r="G21" s="7">
        <f t="shared" ca="1" si="1"/>
        <v>410</v>
      </c>
      <c r="I21" s="11" t="s">
        <v>4203</v>
      </c>
      <c r="J21" s="7" t="s">
        <v>4121</v>
      </c>
      <c r="L21" t="str">
        <f t="shared" ca="1" si="2"/>
        <v>insert into orders values ('OID019', 'CUS019', '03-May-2020', 'Credit Card', 'Not ready to ship', 412, 496);</v>
      </c>
    </row>
    <row r="22" spans="1:12" ht="18" customHeight="1" x14ac:dyDescent="0.25">
      <c r="A22" s="7" t="s">
        <v>4163</v>
      </c>
      <c r="B22" s="7" t="str">
        <f>Customers!A22</f>
        <v>CUS021</v>
      </c>
      <c r="C22" s="26">
        <f t="shared" ca="1" si="0"/>
        <v>43024</v>
      </c>
      <c r="D22" s="7" t="str">
        <f ca="1">r_choice($I$9:$I$11)</f>
        <v>Cash</v>
      </c>
      <c r="E22" s="7" t="str">
        <f ca="1">r_choice($I$4:$I$6)</f>
        <v>Shipped</v>
      </c>
      <c r="F22" s="7">
        <f t="shared" ref="F22:G41" ca="1" si="3">r_integer(400,500)</f>
        <v>431</v>
      </c>
      <c r="G22" s="7">
        <f t="shared" ca="1" si="3"/>
        <v>498</v>
      </c>
      <c r="L22" t="str">
        <f t="shared" ca="1" si="2"/>
        <v>insert into orders values ('OID020', 'CUS020', '06-Feb-2017', 'Bank Wire', 'Shipped', 490, 410);</v>
      </c>
    </row>
    <row r="23" spans="1:12" ht="18" customHeight="1" x14ac:dyDescent="0.25">
      <c r="A23" s="7" t="s">
        <v>4164</v>
      </c>
      <c r="B23" s="7" t="str">
        <f>Customers!A23</f>
        <v>CUS022</v>
      </c>
      <c r="C23" s="26">
        <f t="shared" ca="1" si="0"/>
        <v>43886</v>
      </c>
      <c r="D23" s="7" t="str">
        <f ca="1">r_choice($I$9:$I$11)</f>
        <v>Cash</v>
      </c>
      <c r="E23" s="7" t="str">
        <f ca="1">r_choice($I$4:$I$6)</f>
        <v>Not ready to ship</v>
      </c>
      <c r="F23" s="7">
        <f t="shared" ca="1" si="3"/>
        <v>466</v>
      </c>
      <c r="G23" s="7">
        <f t="shared" ca="1" si="3"/>
        <v>456</v>
      </c>
      <c r="L23" t="str">
        <f t="shared" ca="1" si="2"/>
        <v>insert into orders values ('OID021', 'CUS021', '16-Oct-2017', 'Cash', 'Shipped', 431, 498);</v>
      </c>
    </row>
    <row r="24" spans="1:12" ht="18" customHeight="1" x14ac:dyDescent="0.25">
      <c r="A24" s="7" t="s">
        <v>4165</v>
      </c>
      <c r="B24" s="7" t="str">
        <f>Customers!A24</f>
        <v>CUS023</v>
      </c>
      <c r="C24" s="26">
        <f t="shared" ca="1" si="0"/>
        <v>42802</v>
      </c>
      <c r="D24" s="7" t="str">
        <f ca="1">r_choice($I$9:$I$11)</f>
        <v>Cash</v>
      </c>
      <c r="E24" s="7" t="str">
        <f ca="1">r_choice($I$4:$I$6)</f>
        <v>Not ready to ship</v>
      </c>
      <c r="F24" s="7">
        <f t="shared" ca="1" si="3"/>
        <v>462</v>
      </c>
      <c r="G24" s="7">
        <f t="shared" ca="1" si="3"/>
        <v>465</v>
      </c>
      <c r="L24" t="str">
        <f t="shared" ca="1" si="2"/>
        <v>insert into orders values ('OID022', 'CUS022', '25-Feb-2020', 'Cash', 'Not ready to ship', 466, 456);</v>
      </c>
    </row>
    <row r="25" spans="1:12" ht="18" customHeight="1" x14ac:dyDescent="0.25">
      <c r="A25" s="7" t="s">
        <v>4166</v>
      </c>
      <c r="B25" s="7" t="str">
        <f>Customers!A25</f>
        <v>CUS024</v>
      </c>
      <c r="C25" s="26">
        <f t="shared" ca="1" si="0"/>
        <v>43539</v>
      </c>
      <c r="D25" s="7" t="str">
        <f ca="1">r_choice($I$9:$I$11)</f>
        <v>Cash</v>
      </c>
      <c r="E25" s="7" t="str">
        <f ca="1">r_choice($I$4:$I$6)</f>
        <v>Not ready to ship</v>
      </c>
      <c r="F25" s="7">
        <f t="shared" ca="1" si="3"/>
        <v>475</v>
      </c>
      <c r="G25" s="7">
        <f t="shared" ca="1" si="3"/>
        <v>441</v>
      </c>
      <c r="L25" t="str">
        <f t="shared" ca="1" si="2"/>
        <v>insert into orders values ('OID023', 'CUS023', '08-Mar-2017', 'Cash', 'Not ready to ship', 462, 465);</v>
      </c>
    </row>
    <row r="26" spans="1:12" ht="18" customHeight="1" x14ac:dyDescent="0.25">
      <c r="A26" s="7" t="s">
        <v>4167</v>
      </c>
      <c r="B26" s="7" t="str">
        <f>Customers!A26</f>
        <v>CUS025</v>
      </c>
      <c r="C26" s="26">
        <f t="shared" ca="1" si="0"/>
        <v>42609</v>
      </c>
      <c r="D26" s="7" t="str">
        <f ca="1">r_choice($I$9:$I$11)</f>
        <v>Cash</v>
      </c>
      <c r="E26" s="7" t="str">
        <f ca="1">r_choice($I$4:$I$6)</f>
        <v>Not ready to ship</v>
      </c>
      <c r="F26" s="7">
        <f t="shared" ca="1" si="3"/>
        <v>430</v>
      </c>
      <c r="G26" s="7">
        <f t="shared" ca="1" si="3"/>
        <v>466</v>
      </c>
      <c r="L26" t="str">
        <f t="shared" ca="1" si="2"/>
        <v>insert into orders values ('OID024', 'CUS024', '15-Mar-2019', 'Cash', 'Not ready to ship', 475, 441);</v>
      </c>
    </row>
    <row r="27" spans="1:12" ht="18" customHeight="1" x14ac:dyDescent="0.25">
      <c r="A27" s="7" t="s">
        <v>4168</v>
      </c>
      <c r="B27" s="7" t="str">
        <f>Customers!A27</f>
        <v>CUS026</v>
      </c>
      <c r="C27" s="26">
        <f t="shared" ca="1" si="0"/>
        <v>43716</v>
      </c>
      <c r="D27" s="7" t="str">
        <f ca="1">r_choice($I$9:$I$11)</f>
        <v>Credit Card</v>
      </c>
      <c r="E27" s="7" t="str">
        <f ca="1">r_choice($I$4:$I$6)</f>
        <v>Ready to ship</v>
      </c>
      <c r="F27" s="7">
        <f t="shared" ca="1" si="3"/>
        <v>499</v>
      </c>
      <c r="G27" s="7">
        <f t="shared" ca="1" si="3"/>
        <v>423</v>
      </c>
      <c r="L27" t="str">
        <f t="shared" ca="1" si="2"/>
        <v>insert into orders values ('OID025', 'CUS025', '27-Aug-2016', 'Cash', 'Not ready to ship', 430, 466);</v>
      </c>
    </row>
    <row r="28" spans="1:12" ht="18" customHeight="1" x14ac:dyDescent="0.25">
      <c r="A28" s="7" t="s">
        <v>4169</v>
      </c>
      <c r="B28" s="7" t="str">
        <f>Customers!A28</f>
        <v>CUS027</v>
      </c>
      <c r="C28" s="26">
        <f t="shared" ca="1" si="0"/>
        <v>43747</v>
      </c>
      <c r="D28" s="7" t="str">
        <f ca="1">r_choice($I$9:$I$11)</f>
        <v>Bank Wire</v>
      </c>
      <c r="E28" s="7" t="str">
        <f ca="1">r_choice($I$4:$I$6)</f>
        <v>Not ready to ship</v>
      </c>
      <c r="F28" s="7">
        <f t="shared" ca="1" si="3"/>
        <v>495</v>
      </c>
      <c r="G28" s="7">
        <f t="shared" ca="1" si="3"/>
        <v>477</v>
      </c>
      <c r="L28" t="str">
        <f t="shared" ca="1" si="2"/>
        <v>insert into orders values ('OID026', 'CUS026', '08-Sep-2019', 'Credit Card', 'Ready to ship', 499, 423);</v>
      </c>
    </row>
    <row r="29" spans="1:12" ht="18" customHeight="1" x14ac:dyDescent="0.25">
      <c r="A29" s="7" t="s">
        <v>4170</v>
      </c>
      <c r="B29" s="7" t="str">
        <f>Customers!A29</f>
        <v>CUS028</v>
      </c>
      <c r="C29" s="26">
        <f t="shared" ca="1" si="0"/>
        <v>42747</v>
      </c>
      <c r="D29" s="7" t="str">
        <f ca="1">r_choice($I$9:$I$11)</f>
        <v>Credit Card</v>
      </c>
      <c r="E29" s="7" t="str">
        <f ca="1">r_choice($I$4:$I$6)</f>
        <v>Shipped</v>
      </c>
      <c r="F29" s="7">
        <f t="shared" ca="1" si="3"/>
        <v>497</v>
      </c>
      <c r="G29" s="7">
        <f t="shared" ca="1" si="3"/>
        <v>402</v>
      </c>
      <c r="L29" t="str">
        <f t="shared" ca="1" si="2"/>
        <v>insert into orders values ('OID027', 'CUS027', '09-Oct-2019', 'Bank Wire', 'Not ready to ship', 495, 477);</v>
      </c>
    </row>
    <row r="30" spans="1:12" ht="18" customHeight="1" x14ac:dyDescent="0.25">
      <c r="A30" s="7" t="s">
        <v>4171</v>
      </c>
      <c r="B30" s="7" t="str">
        <f>Customers!A30</f>
        <v>CUS029</v>
      </c>
      <c r="C30" s="26">
        <f t="shared" ca="1" si="0"/>
        <v>42930</v>
      </c>
      <c r="D30" s="7" t="str">
        <f ca="1">r_choice($I$9:$I$11)</f>
        <v>Credit Card</v>
      </c>
      <c r="E30" s="7" t="str">
        <f ca="1">r_choice($I$4:$I$6)</f>
        <v>Shipped</v>
      </c>
      <c r="F30" s="7">
        <f t="shared" ca="1" si="3"/>
        <v>456</v>
      </c>
      <c r="G30" s="7">
        <f t="shared" ca="1" si="3"/>
        <v>461</v>
      </c>
      <c r="L30" t="str">
        <f t="shared" ca="1" si="2"/>
        <v>insert into orders values ('OID028', 'CUS028', '12-Jan-2017', 'Credit Card', 'Shipped', 497, 402);</v>
      </c>
    </row>
    <row r="31" spans="1:12" ht="18" customHeight="1" x14ac:dyDescent="0.25">
      <c r="A31" s="7" t="s">
        <v>4172</v>
      </c>
      <c r="B31" s="7" t="str">
        <f>Customers!A31</f>
        <v>CUS030</v>
      </c>
      <c r="C31" s="26">
        <f t="shared" ca="1" si="0"/>
        <v>44190</v>
      </c>
      <c r="D31" s="7" t="str">
        <f ca="1">r_choice($I$9:$I$11)</f>
        <v>Credit Card</v>
      </c>
      <c r="E31" s="7" t="str">
        <f ca="1">r_choice($I$4:$I$6)</f>
        <v>Not ready to ship</v>
      </c>
      <c r="F31" s="7">
        <f t="shared" ca="1" si="3"/>
        <v>461</v>
      </c>
      <c r="G31" s="7">
        <f t="shared" ca="1" si="3"/>
        <v>444</v>
      </c>
      <c r="L31" t="str">
        <f t="shared" ca="1" si="2"/>
        <v>insert into orders values ('OID029', 'CUS029', '14-Jul-2017', 'Credit Card', 'Shipped', 456, 461);</v>
      </c>
    </row>
    <row r="32" spans="1:12" ht="18" customHeight="1" x14ac:dyDescent="0.25">
      <c r="A32" s="7" t="s">
        <v>4173</v>
      </c>
      <c r="B32" s="7" t="str">
        <f>Customers!A32</f>
        <v>CUS031</v>
      </c>
      <c r="C32" s="26">
        <f t="shared" ca="1" si="0"/>
        <v>43302</v>
      </c>
      <c r="D32" s="7" t="str">
        <f ca="1">r_choice($I$9:$I$11)</f>
        <v>Credit Card</v>
      </c>
      <c r="E32" s="7" t="str">
        <f ca="1">r_choice($I$4:$I$6)</f>
        <v>Shipped</v>
      </c>
      <c r="F32" s="7">
        <f t="shared" ca="1" si="3"/>
        <v>440</v>
      </c>
      <c r="G32" s="7">
        <f t="shared" ca="1" si="3"/>
        <v>485</v>
      </c>
      <c r="L32" t="str">
        <f t="shared" ca="1" si="2"/>
        <v>insert into orders values ('OID030', 'CUS030', '25-Dec-2020', 'Credit Card', 'Not ready to ship', 461, 444);</v>
      </c>
    </row>
    <row r="33" spans="1:12" ht="18" customHeight="1" x14ac:dyDescent="0.25">
      <c r="A33" s="7" t="s">
        <v>4174</v>
      </c>
      <c r="B33" s="7" t="str">
        <f>Customers!A33</f>
        <v>CUS032</v>
      </c>
      <c r="C33" s="26">
        <f t="shared" ca="1" si="0"/>
        <v>42901</v>
      </c>
      <c r="D33" s="7" t="str">
        <f ca="1">r_choice($I$9:$I$11)</f>
        <v>Bank Wire</v>
      </c>
      <c r="E33" s="7" t="str">
        <f ca="1">r_choice($I$4:$I$6)</f>
        <v>Not ready to ship</v>
      </c>
      <c r="F33" s="7">
        <f t="shared" ca="1" si="3"/>
        <v>430</v>
      </c>
      <c r="G33" s="7">
        <f t="shared" ca="1" si="3"/>
        <v>454</v>
      </c>
      <c r="L33" t="str">
        <f t="shared" ca="1" si="2"/>
        <v>insert into orders values ('OID031', 'CUS031', '21-Jul-2018', 'Credit Card', 'Shipped', 440, 485);</v>
      </c>
    </row>
    <row r="34" spans="1:12" ht="18" customHeight="1" x14ac:dyDescent="0.25">
      <c r="A34" s="7" t="s">
        <v>4175</v>
      </c>
      <c r="B34" s="7" t="str">
        <f>Customers!A34</f>
        <v>CUS033</v>
      </c>
      <c r="C34" s="26">
        <f t="shared" ca="1" si="0"/>
        <v>42414</v>
      </c>
      <c r="D34" s="7" t="str">
        <f ca="1">r_choice($I$9:$I$11)</f>
        <v>Credit Card</v>
      </c>
      <c r="E34" s="7" t="str">
        <f ca="1">r_choice($I$4:$I$6)</f>
        <v>Not ready to ship</v>
      </c>
      <c r="F34" s="7">
        <f t="shared" ca="1" si="3"/>
        <v>444</v>
      </c>
      <c r="G34" s="7">
        <f t="shared" ca="1" si="3"/>
        <v>453</v>
      </c>
      <c r="L34" t="str">
        <f t="shared" ca="1" si="2"/>
        <v>insert into orders values ('OID032', 'CUS032', '15-Jun-2017', 'Bank Wire', 'Not ready to ship', 430, 454);</v>
      </c>
    </row>
    <row r="35" spans="1:12" ht="18" customHeight="1" x14ac:dyDescent="0.25">
      <c r="A35" s="7" t="s">
        <v>4176</v>
      </c>
      <c r="B35" s="7" t="str">
        <f>Customers!A35</f>
        <v>CUS034</v>
      </c>
      <c r="C35" s="26">
        <f t="shared" ca="1" si="0"/>
        <v>43307</v>
      </c>
      <c r="D35" s="7" t="str">
        <f ca="1">r_choice($I$9:$I$11)</f>
        <v>Credit Card</v>
      </c>
      <c r="E35" s="7" t="str">
        <f ca="1">r_choice($I$4:$I$6)</f>
        <v>Not ready to ship</v>
      </c>
      <c r="F35" s="7">
        <f t="shared" ca="1" si="3"/>
        <v>480</v>
      </c>
      <c r="G35" s="7">
        <f t="shared" ca="1" si="3"/>
        <v>457</v>
      </c>
      <c r="L35" t="str">
        <f t="shared" ref="L35:L52" ca="1" si="4">insertinto(A34:G34,$I$15:$J$21, "orders")</f>
        <v>insert into orders values ('OID033', 'CUS033', '14-Feb-2016', 'Credit Card', 'Not ready to ship', 444, 453);</v>
      </c>
    </row>
    <row r="36" spans="1:12" ht="18" customHeight="1" x14ac:dyDescent="0.25">
      <c r="A36" s="7" t="s">
        <v>4177</v>
      </c>
      <c r="B36" s="7" t="str">
        <f>Customers!A36</f>
        <v>CUS035</v>
      </c>
      <c r="C36" s="26">
        <f t="shared" ca="1" si="0"/>
        <v>43589</v>
      </c>
      <c r="D36" s="7" t="str">
        <f ca="1">r_choice($I$9:$I$11)</f>
        <v>Credit Card</v>
      </c>
      <c r="E36" s="7" t="str">
        <f ca="1">r_choice($I$4:$I$6)</f>
        <v>Ready to ship</v>
      </c>
      <c r="F36" s="7">
        <f t="shared" ca="1" si="3"/>
        <v>448</v>
      </c>
      <c r="G36" s="7">
        <f t="shared" ca="1" si="3"/>
        <v>400</v>
      </c>
      <c r="L36" t="str">
        <f t="shared" ca="1" si="4"/>
        <v>insert into orders values ('OID034', 'CUS034', '26-Jul-2018', 'Credit Card', 'Not ready to ship', 480, 457);</v>
      </c>
    </row>
    <row r="37" spans="1:12" ht="18" customHeight="1" x14ac:dyDescent="0.25">
      <c r="A37" s="7" t="s">
        <v>4178</v>
      </c>
      <c r="B37" s="7" t="str">
        <f>Customers!A37</f>
        <v>CUS036</v>
      </c>
      <c r="C37" s="26">
        <f t="shared" ca="1" si="0"/>
        <v>43405</v>
      </c>
      <c r="D37" s="7" t="str">
        <f ca="1">r_choice($I$9:$I$11)</f>
        <v>Credit Card</v>
      </c>
      <c r="E37" s="7" t="str">
        <f ca="1">r_choice($I$4:$I$6)</f>
        <v>Shipped</v>
      </c>
      <c r="F37" s="7">
        <f t="shared" ca="1" si="3"/>
        <v>474</v>
      </c>
      <c r="G37" s="7">
        <f t="shared" ca="1" si="3"/>
        <v>435</v>
      </c>
      <c r="L37" t="str">
        <f t="shared" ca="1" si="4"/>
        <v>insert into orders values ('OID035', 'CUS035', '04-May-2019', 'Credit Card', 'Ready to ship', 448, 400);</v>
      </c>
    </row>
    <row r="38" spans="1:12" ht="18" customHeight="1" x14ac:dyDescent="0.25">
      <c r="A38" s="7" t="s">
        <v>4179</v>
      </c>
      <c r="B38" s="7" t="str">
        <f>Customers!A38</f>
        <v>CUS037</v>
      </c>
      <c r="C38" s="26">
        <f t="shared" ca="1" si="0"/>
        <v>43797</v>
      </c>
      <c r="D38" s="7" t="str">
        <f ca="1">r_choice($I$9:$I$11)</f>
        <v>Credit Card</v>
      </c>
      <c r="E38" s="7" t="str">
        <f ca="1">r_choice($I$4:$I$6)</f>
        <v>Not ready to ship</v>
      </c>
      <c r="F38" s="7">
        <f t="shared" ca="1" si="3"/>
        <v>478</v>
      </c>
      <c r="G38" s="7">
        <f t="shared" ca="1" si="3"/>
        <v>494</v>
      </c>
      <c r="L38" t="str">
        <f t="shared" ca="1" si="4"/>
        <v>insert into orders values ('OID036', 'CUS036', '01-Nov-2018', 'Credit Card', 'Shipped', 474, 435);</v>
      </c>
    </row>
    <row r="39" spans="1:12" ht="18" customHeight="1" x14ac:dyDescent="0.25">
      <c r="A39" s="7" t="s">
        <v>4180</v>
      </c>
      <c r="B39" s="7" t="str">
        <f>Customers!A39</f>
        <v>CUS038</v>
      </c>
      <c r="C39" s="26">
        <f t="shared" ca="1" si="0"/>
        <v>43936</v>
      </c>
      <c r="D39" s="7" t="str">
        <f ca="1">r_choice($I$9:$I$11)</f>
        <v>Bank Wire</v>
      </c>
      <c r="E39" s="7" t="str">
        <f ca="1">r_choice($I$4:$I$6)</f>
        <v>Not ready to ship</v>
      </c>
      <c r="F39" s="7">
        <f t="shared" ca="1" si="3"/>
        <v>456</v>
      </c>
      <c r="G39" s="7">
        <f t="shared" ca="1" si="3"/>
        <v>453</v>
      </c>
      <c r="L39" t="str">
        <f t="shared" ca="1" si="4"/>
        <v>insert into orders values ('OID037', 'CUS037', '28-Nov-2019', 'Credit Card', 'Not ready to ship', 478, 494);</v>
      </c>
    </row>
    <row r="40" spans="1:12" ht="18" customHeight="1" x14ac:dyDescent="0.25">
      <c r="A40" s="7" t="s">
        <v>4181</v>
      </c>
      <c r="B40" s="7" t="str">
        <f>Customers!A40</f>
        <v>CUS039</v>
      </c>
      <c r="C40" s="26">
        <f t="shared" ca="1" si="0"/>
        <v>42407</v>
      </c>
      <c r="D40" s="7" t="str">
        <f ca="1">r_choice($I$9:$I$11)</f>
        <v>Credit Card</v>
      </c>
      <c r="E40" s="7" t="str">
        <f ca="1">r_choice($I$4:$I$6)</f>
        <v>Shipped</v>
      </c>
      <c r="F40" s="7">
        <f t="shared" ca="1" si="3"/>
        <v>500</v>
      </c>
      <c r="G40" s="7">
        <f t="shared" ca="1" si="3"/>
        <v>434</v>
      </c>
      <c r="L40" t="str">
        <f t="shared" ca="1" si="4"/>
        <v>insert into orders values ('OID038', 'CUS038', '15-Apr-2020', 'Bank Wire', 'Not ready to ship', 456, 453);</v>
      </c>
    </row>
    <row r="41" spans="1:12" ht="18" customHeight="1" x14ac:dyDescent="0.25">
      <c r="A41" s="7" t="s">
        <v>4182</v>
      </c>
      <c r="B41" s="7" t="str">
        <f>Customers!A41</f>
        <v>CUS040</v>
      </c>
      <c r="C41" s="26">
        <f t="shared" ca="1" si="0"/>
        <v>42889</v>
      </c>
      <c r="D41" s="7" t="str">
        <f ca="1">r_choice($I$9:$I$11)</f>
        <v>Credit Card</v>
      </c>
      <c r="E41" s="7" t="str">
        <f ca="1">r_choice($I$4:$I$6)</f>
        <v>Not ready to ship</v>
      </c>
      <c r="F41" s="7">
        <f t="shared" ca="1" si="3"/>
        <v>480</v>
      </c>
      <c r="G41" s="7">
        <f t="shared" ca="1" si="3"/>
        <v>500</v>
      </c>
      <c r="L41" t="str">
        <f t="shared" ca="1" si="4"/>
        <v>insert into orders values ('OID039', 'CUS039', '07-Feb-2016', 'Credit Card', 'Shipped', 500, 434);</v>
      </c>
    </row>
    <row r="42" spans="1:12" ht="18" customHeight="1" x14ac:dyDescent="0.25">
      <c r="A42" s="7" t="s">
        <v>4183</v>
      </c>
      <c r="B42" s="7" t="str">
        <f>Customers!A42</f>
        <v>CUS041</v>
      </c>
      <c r="C42" s="26">
        <f t="shared" ca="1" si="0"/>
        <v>42811</v>
      </c>
      <c r="D42" s="7" t="str">
        <f ca="1">r_choice($I$9:$I$11)</f>
        <v>Bank Wire</v>
      </c>
      <c r="E42" s="7" t="str">
        <f ca="1">r_choice($I$4:$I$6)</f>
        <v>Shipped</v>
      </c>
      <c r="F42" s="7">
        <f t="shared" ref="F42:G51" ca="1" si="5">r_integer(400,500)</f>
        <v>496</v>
      </c>
      <c r="G42" s="7">
        <f t="shared" ca="1" si="5"/>
        <v>433</v>
      </c>
      <c r="L42" t="str">
        <f t="shared" ca="1" si="4"/>
        <v>insert into orders values ('OID040', 'CUS040', '03-Jun-2017', 'Credit Card', 'Not ready to ship', 480, 500);</v>
      </c>
    </row>
    <row r="43" spans="1:12" ht="18" customHeight="1" x14ac:dyDescent="0.25">
      <c r="A43" s="7" t="s">
        <v>4184</v>
      </c>
      <c r="B43" s="7" t="str">
        <f>Customers!A43</f>
        <v>CUS042</v>
      </c>
      <c r="C43" s="26">
        <f t="shared" ca="1" si="0"/>
        <v>44218</v>
      </c>
      <c r="D43" s="7" t="str">
        <f ca="1">r_choice($I$9:$I$11)</f>
        <v>Credit Card</v>
      </c>
      <c r="E43" s="7" t="str">
        <f ca="1">r_choice($I$4:$I$6)</f>
        <v>Shipped</v>
      </c>
      <c r="F43" s="7">
        <f t="shared" ca="1" si="5"/>
        <v>469</v>
      </c>
      <c r="G43" s="7">
        <f t="shared" ca="1" si="5"/>
        <v>460</v>
      </c>
      <c r="L43" t="str">
        <f t="shared" ca="1" si="4"/>
        <v>insert into orders values ('OID041', 'CUS041', '17-Mar-2017', 'Bank Wire', 'Shipped', 496, 433);</v>
      </c>
    </row>
    <row r="44" spans="1:12" ht="18" customHeight="1" x14ac:dyDescent="0.25">
      <c r="A44" s="7" t="s">
        <v>4185</v>
      </c>
      <c r="B44" s="7" t="str">
        <f>Customers!A44</f>
        <v>CUS043</v>
      </c>
      <c r="C44" s="26">
        <f t="shared" ca="1" si="0"/>
        <v>43361</v>
      </c>
      <c r="D44" s="7" t="str">
        <f ca="1">r_choice($I$9:$I$11)</f>
        <v>Credit Card</v>
      </c>
      <c r="E44" s="7" t="str">
        <f ca="1">r_choice($I$4:$I$6)</f>
        <v>Ready to ship</v>
      </c>
      <c r="F44" s="7">
        <f t="shared" ca="1" si="5"/>
        <v>401</v>
      </c>
      <c r="G44" s="7">
        <f t="shared" ca="1" si="5"/>
        <v>448</v>
      </c>
      <c r="L44" t="str">
        <f t="shared" ca="1" si="4"/>
        <v>insert into orders values ('OID042', 'CUS042', '22-Jan-2021', 'Credit Card', 'Shipped', 469, 460);</v>
      </c>
    </row>
    <row r="45" spans="1:12" ht="18" customHeight="1" x14ac:dyDescent="0.25">
      <c r="A45" s="7" t="s">
        <v>4186</v>
      </c>
      <c r="B45" s="7" t="str">
        <f>Customers!A45</f>
        <v>CUS044</v>
      </c>
      <c r="C45" s="26">
        <f t="shared" ca="1" si="0"/>
        <v>43127</v>
      </c>
      <c r="D45" s="7" t="str">
        <f ca="1">r_choice($I$9:$I$11)</f>
        <v>Credit Card</v>
      </c>
      <c r="E45" s="7" t="str">
        <f ca="1">r_choice($I$4:$I$6)</f>
        <v>Ready to ship</v>
      </c>
      <c r="F45" s="7">
        <f t="shared" ca="1" si="5"/>
        <v>440</v>
      </c>
      <c r="G45" s="7">
        <f t="shared" ca="1" si="5"/>
        <v>432</v>
      </c>
      <c r="L45" t="str">
        <f t="shared" ca="1" si="4"/>
        <v>insert into orders values ('OID043', 'CUS043', '18-Sep-2018', 'Credit Card', 'Ready to ship', 401, 448);</v>
      </c>
    </row>
    <row r="46" spans="1:12" ht="18" customHeight="1" x14ac:dyDescent="0.25">
      <c r="A46" s="7" t="s">
        <v>4187</v>
      </c>
      <c r="B46" s="7" t="str">
        <f>Customers!A46</f>
        <v>CUS045</v>
      </c>
      <c r="C46" s="26">
        <f t="shared" ca="1" si="0"/>
        <v>43920</v>
      </c>
      <c r="D46" s="7" t="str">
        <f ca="1">r_choice($I$9:$I$11)</f>
        <v>Credit Card</v>
      </c>
      <c r="E46" s="7" t="str">
        <f ca="1">r_choice($I$4:$I$6)</f>
        <v>Not ready to ship</v>
      </c>
      <c r="F46" s="7">
        <f t="shared" ca="1" si="5"/>
        <v>460</v>
      </c>
      <c r="G46" s="7">
        <f t="shared" ca="1" si="5"/>
        <v>431</v>
      </c>
      <c r="L46" t="str">
        <f t="shared" ca="1" si="4"/>
        <v>insert into orders values ('OID044', 'CUS044', '27-Jan-2018', 'Credit Card', 'Ready to ship', 440, 432);</v>
      </c>
    </row>
    <row r="47" spans="1:12" ht="18" customHeight="1" x14ac:dyDescent="0.25">
      <c r="A47" s="7" t="s">
        <v>4188</v>
      </c>
      <c r="B47" s="7" t="str">
        <f>Customers!A47</f>
        <v>CUS046</v>
      </c>
      <c r="C47" s="26">
        <f t="shared" ca="1" si="0"/>
        <v>43877</v>
      </c>
      <c r="D47" s="7" t="str">
        <f ca="1">r_choice($I$9:$I$11)</f>
        <v>Credit Card</v>
      </c>
      <c r="E47" s="7" t="str">
        <f ca="1">r_choice($I$4:$I$6)</f>
        <v>Shipped</v>
      </c>
      <c r="F47" s="7">
        <f t="shared" ca="1" si="5"/>
        <v>411</v>
      </c>
      <c r="G47" s="7">
        <f t="shared" ca="1" si="5"/>
        <v>475</v>
      </c>
      <c r="L47" t="str">
        <f t="shared" ca="1" si="4"/>
        <v>insert into orders values ('OID045', 'CUS045', '30-Mar-2020', 'Credit Card', 'Not ready to ship', 460, 431);</v>
      </c>
    </row>
    <row r="48" spans="1:12" ht="18" customHeight="1" x14ac:dyDescent="0.25">
      <c r="A48" s="7" t="s">
        <v>4189</v>
      </c>
      <c r="B48" s="7" t="str">
        <f>Customers!A48</f>
        <v>CUS047</v>
      </c>
      <c r="C48" s="26">
        <f t="shared" ca="1" si="0"/>
        <v>43810</v>
      </c>
      <c r="D48" s="7" t="str">
        <f ca="1">r_choice($I$9:$I$11)</f>
        <v>Cash</v>
      </c>
      <c r="E48" s="7" t="str">
        <f ca="1">r_choice($I$4:$I$6)</f>
        <v>Ready to ship</v>
      </c>
      <c r="F48" s="7">
        <f t="shared" ca="1" si="5"/>
        <v>448</v>
      </c>
      <c r="G48" s="7">
        <f t="shared" ca="1" si="5"/>
        <v>493</v>
      </c>
      <c r="L48" t="str">
        <f t="shared" ca="1" si="4"/>
        <v>insert into orders values ('OID046', 'CUS046', '16-Feb-2020', 'Credit Card', 'Shipped', 411, 475);</v>
      </c>
    </row>
    <row r="49" spans="1:12" ht="18" customHeight="1" x14ac:dyDescent="0.25">
      <c r="A49" s="7" t="s">
        <v>4190</v>
      </c>
      <c r="B49" s="7" t="str">
        <f>Customers!A49</f>
        <v>CUS048</v>
      </c>
      <c r="C49" s="26">
        <f t="shared" ca="1" si="0"/>
        <v>44210</v>
      </c>
      <c r="D49" s="7" t="str">
        <f ca="1">r_choice($I$9:$I$11)</f>
        <v>Cash</v>
      </c>
      <c r="E49" s="7" t="str">
        <f ca="1">r_choice($I$4:$I$6)</f>
        <v>Ready to ship</v>
      </c>
      <c r="F49" s="7">
        <f t="shared" ca="1" si="5"/>
        <v>451</v>
      </c>
      <c r="G49" s="7">
        <f t="shared" ca="1" si="5"/>
        <v>489</v>
      </c>
      <c r="L49" t="str">
        <f t="shared" ca="1" si="4"/>
        <v>insert into orders values ('OID047', 'CUS047', '11-Dec-2019', 'Cash', 'Ready to ship', 448, 493);</v>
      </c>
    </row>
    <row r="50" spans="1:12" ht="18" customHeight="1" x14ac:dyDescent="0.25">
      <c r="A50" s="7" t="s">
        <v>4191</v>
      </c>
      <c r="B50" s="7" t="str">
        <f>Customers!A50</f>
        <v>CUS049</v>
      </c>
      <c r="C50" s="26">
        <f t="shared" ca="1" si="0"/>
        <v>44215</v>
      </c>
      <c r="D50" s="7" t="str">
        <f ca="1">r_choice($I$9:$I$11)</f>
        <v>Cash</v>
      </c>
      <c r="E50" s="7" t="str">
        <f ca="1">r_choice($I$4:$I$6)</f>
        <v>Shipped</v>
      </c>
      <c r="F50" s="7">
        <f t="shared" ca="1" si="5"/>
        <v>445</v>
      </c>
      <c r="G50" s="7">
        <f t="shared" ca="1" si="5"/>
        <v>473</v>
      </c>
      <c r="L50" t="str">
        <f t="shared" ca="1" si="4"/>
        <v>insert into orders values ('OID048', 'CUS048', '14-Jan-2021', 'Cash', 'Ready to ship', 451, 489);</v>
      </c>
    </row>
    <row r="51" spans="1:12" ht="18" customHeight="1" x14ac:dyDescent="0.25">
      <c r="A51" s="7" t="s">
        <v>4192</v>
      </c>
      <c r="B51" s="7" t="str">
        <f>Customers!A51</f>
        <v>CUS050</v>
      </c>
      <c r="C51" s="26">
        <f t="shared" ca="1" si="0"/>
        <v>43875</v>
      </c>
      <c r="D51" s="7" t="str">
        <f ca="1">r_choice($I$9:$I$11)</f>
        <v>Cash</v>
      </c>
      <c r="E51" s="7" t="str">
        <f ca="1">r_choice($I$4:$I$6)</f>
        <v>Ready to ship</v>
      </c>
      <c r="F51" s="7">
        <f t="shared" ca="1" si="5"/>
        <v>447</v>
      </c>
      <c r="G51" s="7">
        <f t="shared" ca="1" si="5"/>
        <v>452</v>
      </c>
      <c r="L51" t="str">
        <f t="shared" ca="1" si="4"/>
        <v>insert into orders values ('OID049', 'CUS049', '19-Jan-2021', 'Cash', 'Shipped', 445, 473);</v>
      </c>
    </row>
    <row r="52" spans="1:12" ht="18" customHeight="1" x14ac:dyDescent="0.25">
      <c r="L52" t="str">
        <f t="shared" ca="1" si="4"/>
        <v>insert into orders values ('OID050', 'CUS050', '14-Feb-2020', 'Cash', 'Ready to ship', 447, 452);</v>
      </c>
    </row>
    <row r="53" spans="1:12" ht="18" customHeight="1" x14ac:dyDescent="0.25">
      <c r="E53" s="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53"/>
  <sheetViews>
    <sheetView zoomScale="80" zoomScaleNormal="80" workbookViewId="0">
      <selection activeCell="C1" sqref="C1"/>
    </sheetView>
  </sheetViews>
  <sheetFormatPr defaultRowHeight="18" customHeight="1" x14ac:dyDescent="0.25"/>
  <cols>
    <col min="1" max="1" width="14.33203125" bestFit="1" customWidth="1"/>
    <col min="2" max="2" width="16.109375" bestFit="1" customWidth="1"/>
    <col min="3" max="3" width="19.44140625" bestFit="1" customWidth="1"/>
    <col min="4" max="4" width="27.44140625" bestFit="1" customWidth="1"/>
    <col min="5" max="5" width="30.5546875" style="4" bestFit="1" customWidth="1"/>
    <col min="6" max="6" width="25" style="4" bestFit="1" customWidth="1"/>
    <col min="7" max="7" width="25" bestFit="1" customWidth="1"/>
    <col min="8" max="8" width="7.33203125" customWidth="1"/>
    <col min="10" max="10" width="87.77734375" customWidth="1"/>
  </cols>
  <sheetData>
    <row r="1" spans="1:10" ht="18" customHeight="1" x14ac:dyDescent="0.25">
      <c r="A1" s="11" t="s">
        <v>4142</v>
      </c>
      <c r="B1" s="11" t="s">
        <v>4136</v>
      </c>
      <c r="C1" s="10" t="s">
        <v>4387</v>
      </c>
      <c r="D1" s="10" t="s">
        <v>4200</v>
      </c>
      <c r="E1" s="10" t="s">
        <v>4201</v>
      </c>
    </row>
    <row r="2" spans="1:10" ht="18" customHeight="1" x14ac:dyDescent="0.25">
      <c r="A2" s="7" t="str">
        <f ca="1">r_choice(Orders!$A$2:$A$51)</f>
        <v>OID018</v>
      </c>
      <c r="B2" s="7" t="str">
        <f ca="1">r_choice(Products!$A$2:$A$13)</f>
        <v>PRD011</v>
      </c>
      <c r="C2" s="27">
        <f t="shared" ref="C2:C33" ca="1" si="0">r_integer(50,200)</f>
        <v>123</v>
      </c>
      <c r="D2" s="27">
        <f t="shared" ref="D2:D33" ca="1" si="1">r_integer(30,C2-30)</f>
        <v>64</v>
      </c>
      <c r="E2" s="27">
        <f t="shared" ref="E2:E33" ca="1" si="2">C2-D2</f>
        <v>59</v>
      </c>
      <c r="F2"/>
      <c r="G2" s="11" t="s">
        <v>4142</v>
      </c>
      <c r="H2" s="7" t="s">
        <v>4119</v>
      </c>
      <c r="J2" s="7" t="s">
        <v>4122</v>
      </c>
    </row>
    <row r="3" spans="1:10" ht="18" customHeight="1" x14ac:dyDescent="0.25">
      <c r="A3" s="7" t="str">
        <f ca="1">r_choice(Orders!$A$2:$A$51)</f>
        <v>OID036</v>
      </c>
      <c r="B3" s="7" t="str">
        <f ca="1">r_choice(Products!$A$2:$A$13)</f>
        <v>PRD003</v>
      </c>
      <c r="C3" s="27">
        <f t="shared" ca="1" si="0"/>
        <v>200</v>
      </c>
      <c r="D3" s="27">
        <f t="shared" ca="1" si="1"/>
        <v>110</v>
      </c>
      <c r="E3" s="27">
        <f t="shared" ca="1" si="2"/>
        <v>90</v>
      </c>
      <c r="F3"/>
      <c r="G3" s="11" t="s">
        <v>4136</v>
      </c>
      <c r="H3" s="7" t="s">
        <v>4119</v>
      </c>
      <c r="J3" t="str">
        <f t="shared" ref="J3:J34" ca="1" si="3">insertinto(A2:E2,$G$2:$H$6, "items")</f>
        <v>insert into items values ('OID018', 'PRD011', 123, 64, 59);</v>
      </c>
    </row>
    <row r="4" spans="1:10" ht="18" customHeight="1" x14ac:dyDescent="0.25">
      <c r="A4" s="7" t="str">
        <f ca="1">r_choice(Orders!$A$2:$A$51)</f>
        <v>OID017</v>
      </c>
      <c r="B4" s="7" t="str">
        <f ca="1">r_choice(Products!$A$2:$A$13)</f>
        <v>PRD006</v>
      </c>
      <c r="C4" s="27">
        <f t="shared" ca="1" si="0"/>
        <v>55</v>
      </c>
      <c r="D4" s="27">
        <f t="shared" ca="1" si="1"/>
        <v>28</v>
      </c>
      <c r="E4" s="27">
        <f t="shared" ca="1" si="2"/>
        <v>27</v>
      </c>
      <c r="F4"/>
      <c r="G4" s="10" t="s">
        <v>4386</v>
      </c>
      <c r="H4" s="7" t="s">
        <v>4121</v>
      </c>
      <c r="J4" t="str">
        <f t="shared" ca="1" si="3"/>
        <v>insert into items values ('OID036', 'PRD003', 200, 110, 90);</v>
      </c>
    </row>
    <row r="5" spans="1:10" ht="18" customHeight="1" x14ac:dyDescent="0.25">
      <c r="A5" s="7" t="str">
        <f ca="1">r_choice(Orders!$A$2:$A$51)</f>
        <v>OID036</v>
      </c>
      <c r="B5" s="7" t="str">
        <f ca="1">r_choice(Products!$A$2:$A$13)</f>
        <v>PRD005</v>
      </c>
      <c r="C5" s="27">
        <f t="shared" ca="1" si="0"/>
        <v>195</v>
      </c>
      <c r="D5" s="27">
        <f t="shared" ca="1" si="1"/>
        <v>131</v>
      </c>
      <c r="E5" s="27">
        <f t="shared" ca="1" si="2"/>
        <v>64</v>
      </c>
      <c r="F5"/>
      <c r="G5" s="10" t="s">
        <v>4200</v>
      </c>
      <c r="H5" s="7" t="s">
        <v>4121</v>
      </c>
      <c r="J5" t="str">
        <f t="shared" ca="1" si="3"/>
        <v>insert into items values ('OID017', 'PRD006', 55, 28, 27);</v>
      </c>
    </row>
    <row r="6" spans="1:10" ht="18" customHeight="1" x14ac:dyDescent="0.25">
      <c r="A6" s="7" t="str">
        <f ca="1">r_choice(Orders!$A$2:$A$51)</f>
        <v>OID027</v>
      </c>
      <c r="B6" s="7" t="str">
        <f ca="1">r_choice(Products!$A$2:$A$13)</f>
        <v>PRD001</v>
      </c>
      <c r="C6" s="27">
        <f t="shared" ca="1" si="0"/>
        <v>59</v>
      </c>
      <c r="D6" s="27">
        <f t="shared" ca="1" si="1"/>
        <v>30</v>
      </c>
      <c r="E6" s="27">
        <f t="shared" ca="1" si="2"/>
        <v>29</v>
      </c>
      <c r="F6"/>
      <c r="G6" s="10" t="s">
        <v>4201</v>
      </c>
      <c r="H6" s="7" t="s">
        <v>4121</v>
      </c>
      <c r="J6" t="str">
        <f t="shared" ca="1" si="3"/>
        <v>insert into items values ('OID036', 'PRD005', 195, 131, 64);</v>
      </c>
    </row>
    <row r="7" spans="1:10" ht="18" customHeight="1" x14ac:dyDescent="0.25">
      <c r="A7" s="7" t="str">
        <f ca="1">r_choice(Orders!$A$2:$A$51)</f>
        <v>OID017</v>
      </c>
      <c r="B7" s="7" t="str">
        <f ca="1">r_choice(Products!$A$2:$A$13)</f>
        <v>PRD006</v>
      </c>
      <c r="C7" s="27">
        <f t="shared" ca="1" si="0"/>
        <v>168</v>
      </c>
      <c r="D7" s="27">
        <f t="shared" ca="1" si="1"/>
        <v>124</v>
      </c>
      <c r="E7" s="27">
        <f t="shared" ca="1" si="2"/>
        <v>44</v>
      </c>
      <c r="F7"/>
      <c r="J7" t="str">
        <f t="shared" ca="1" si="3"/>
        <v>insert into items values ('OID027', 'PRD001', 59, 30, 29);</v>
      </c>
    </row>
    <row r="8" spans="1:10" ht="18" customHeight="1" x14ac:dyDescent="0.25">
      <c r="A8" s="7" t="str">
        <f ca="1">r_choice(Orders!$A$2:$A$51)</f>
        <v>OID010</v>
      </c>
      <c r="B8" s="7" t="str">
        <f ca="1">r_choice(Products!$A$2:$A$13)</f>
        <v>PRD004</v>
      </c>
      <c r="C8" s="27">
        <f t="shared" ca="1" si="0"/>
        <v>173</v>
      </c>
      <c r="D8" s="27">
        <f t="shared" ca="1" si="1"/>
        <v>35</v>
      </c>
      <c r="E8" s="27">
        <f t="shared" ca="1" si="2"/>
        <v>138</v>
      </c>
      <c r="F8"/>
      <c r="J8" t="str">
        <f t="shared" ca="1" si="3"/>
        <v>insert into items values ('OID017', 'PRD006', 168, 124, 44);</v>
      </c>
    </row>
    <row r="9" spans="1:10" ht="18" customHeight="1" x14ac:dyDescent="0.25">
      <c r="A9" s="7" t="str">
        <f ca="1">r_choice(Orders!$A$2:$A$51)</f>
        <v>OID024</v>
      </c>
      <c r="B9" s="7" t="str">
        <f ca="1">r_choice(Products!$A$2:$A$13)</f>
        <v>PRD005</v>
      </c>
      <c r="C9" s="27">
        <f t="shared" ca="1" si="0"/>
        <v>139</v>
      </c>
      <c r="D9" s="27">
        <f t="shared" ca="1" si="1"/>
        <v>40</v>
      </c>
      <c r="E9" s="27">
        <f t="shared" ca="1" si="2"/>
        <v>99</v>
      </c>
      <c r="F9"/>
      <c r="J9" t="str">
        <f t="shared" ca="1" si="3"/>
        <v>insert into items values ('OID010', 'PRD004', 173, 35, 138);</v>
      </c>
    </row>
    <row r="10" spans="1:10" ht="18" customHeight="1" x14ac:dyDescent="0.25">
      <c r="A10" s="7" t="str">
        <f ca="1">r_choice(Orders!$A$2:$A$51)</f>
        <v>OID030</v>
      </c>
      <c r="B10" s="7" t="str">
        <f ca="1">r_choice(Products!$A$2:$A$13)</f>
        <v>PRD008</v>
      </c>
      <c r="C10" s="27">
        <f t="shared" ca="1" si="0"/>
        <v>109</v>
      </c>
      <c r="D10" s="27">
        <f t="shared" ca="1" si="1"/>
        <v>74</v>
      </c>
      <c r="E10" s="27">
        <f t="shared" ca="1" si="2"/>
        <v>35</v>
      </c>
      <c r="F10"/>
      <c r="J10" t="str">
        <f t="shared" ca="1" si="3"/>
        <v>insert into items values ('OID024', 'PRD005', 139, 40, 99);</v>
      </c>
    </row>
    <row r="11" spans="1:10" ht="18" customHeight="1" x14ac:dyDescent="0.25">
      <c r="A11" s="7" t="str">
        <f ca="1">r_choice(Orders!$A$2:$A$51)</f>
        <v>OID014</v>
      </c>
      <c r="B11" s="7" t="str">
        <f ca="1">r_choice(Products!$A$2:$A$13)</f>
        <v>PRD002</v>
      </c>
      <c r="C11" s="27">
        <f t="shared" ca="1" si="0"/>
        <v>104</v>
      </c>
      <c r="D11" s="27">
        <f t="shared" ca="1" si="1"/>
        <v>65</v>
      </c>
      <c r="E11" s="27">
        <f t="shared" ca="1" si="2"/>
        <v>39</v>
      </c>
      <c r="F11"/>
      <c r="J11" t="str">
        <f t="shared" ca="1" si="3"/>
        <v>insert into items values ('OID030', 'PRD008', 109, 74, 35);</v>
      </c>
    </row>
    <row r="12" spans="1:10" ht="18" customHeight="1" x14ac:dyDescent="0.25">
      <c r="A12" s="7" t="str">
        <f ca="1">r_choice(Orders!$A$2:$A$51)</f>
        <v>OID047</v>
      </c>
      <c r="B12" s="7" t="str">
        <f ca="1">r_choice(Products!$A$2:$A$13)</f>
        <v>PRD008</v>
      </c>
      <c r="C12" s="27">
        <f t="shared" ca="1" si="0"/>
        <v>142</v>
      </c>
      <c r="D12" s="27">
        <f t="shared" ca="1" si="1"/>
        <v>57</v>
      </c>
      <c r="E12" s="27">
        <f t="shared" ca="1" si="2"/>
        <v>85</v>
      </c>
      <c r="F12"/>
      <c r="J12" t="str">
        <f t="shared" ca="1" si="3"/>
        <v>insert into items values ('OID014', 'PRD002', 104, 65, 39);</v>
      </c>
    </row>
    <row r="13" spans="1:10" ht="18" customHeight="1" x14ac:dyDescent="0.25">
      <c r="A13" s="7" t="str">
        <f ca="1">r_choice(Orders!$A$2:$A$51)</f>
        <v>OID038</v>
      </c>
      <c r="B13" s="7" t="str">
        <f ca="1">r_choice(Products!$A$2:$A$13)</f>
        <v>PRD001</v>
      </c>
      <c r="C13" s="27">
        <f t="shared" ca="1" si="0"/>
        <v>73</v>
      </c>
      <c r="D13" s="27">
        <f t="shared" ca="1" si="1"/>
        <v>32</v>
      </c>
      <c r="E13" s="27">
        <f t="shared" ca="1" si="2"/>
        <v>41</v>
      </c>
      <c r="F13"/>
      <c r="J13" t="str">
        <f t="shared" ca="1" si="3"/>
        <v>insert into items values ('OID047', 'PRD008', 142, 57, 85);</v>
      </c>
    </row>
    <row r="14" spans="1:10" ht="18" customHeight="1" x14ac:dyDescent="0.25">
      <c r="A14" s="7" t="str">
        <f ca="1">r_choice(Orders!$A$2:$A$51)</f>
        <v>OID020</v>
      </c>
      <c r="B14" s="7" t="str">
        <f ca="1">r_choice(Products!$A$2:$A$13)</f>
        <v>PRD001</v>
      </c>
      <c r="C14" s="27">
        <f t="shared" ca="1" si="0"/>
        <v>166</v>
      </c>
      <c r="D14" s="27">
        <f t="shared" ca="1" si="1"/>
        <v>125</v>
      </c>
      <c r="E14" s="27">
        <f t="shared" ca="1" si="2"/>
        <v>41</v>
      </c>
      <c r="F14"/>
      <c r="J14" t="str">
        <f t="shared" ca="1" si="3"/>
        <v>insert into items values ('OID038', 'PRD001', 73, 32, 41);</v>
      </c>
    </row>
    <row r="15" spans="1:10" ht="18" customHeight="1" x14ac:dyDescent="0.25">
      <c r="A15" s="7" t="str">
        <f ca="1">r_choice(Orders!$A$2:$A$51)</f>
        <v>OID001</v>
      </c>
      <c r="B15" s="7" t="str">
        <f ca="1">r_choice(Products!$A$2:$A$13)</f>
        <v>PRD004</v>
      </c>
      <c r="C15" s="27">
        <f t="shared" ca="1" si="0"/>
        <v>105</v>
      </c>
      <c r="D15" s="27">
        <f t="shared" ca="1" si="1"/>
        <v>48</v>
      </c>
      <c r="E15" s="27">
        <f t="shared" ca="1" si="2"/>
        <v>57</v>
      </c>
      <c r="F15"/>
      <c r="J15" t="str">
        <f t="shared" ca="1" si="3"/>
        <v>insert into items values ('OID020', 'PRD001', 166, 125, 41);</v>
      </c>
    </row>
    <row r="16" spans="1:10" ht="18" customHeight="1" x14ac:dyDescent="0.25">
      <c r="A16" s="7" t="str">
        <f ca="1">r_choice(Orders!$A$2:$A$51)</f>
        <v>OID040</v>
      </c>
      <c r="B16" s="7" t="str">
        <f ca="1">r_choice(Products!$A$2:$A$13)</f>
        <v>PRD008</v>
      </c>
      <c r="C16" s="27">
        <f t="shared" ca="1" si="0"/>
        <v>122</v>
      </c>
      <c r="D16" s="27">
        <f t="shared" ca="1" si="1"/>
        <v>40</v>
      </c>
      <c r="E16" s="27">
        <f t="shared" ca="1" si="2"/>
        <v>82</v>
      </c>
      <c r="F16"/>
      <c r="J16" t="str">
        <f t="shared" ca="1" si="3"/>
        <v>insert into items values ('OID001', 'PRD004', 105, 48, 57);</v>
      </c>
    </row>
    <row r="17" spans="1:10" ht="18" customHeight="1" x14ac:dyDescent="0.25">
      <c r="A17" s="7" t="str">
        <f ca="1">r_choice(Orders!$A$2:$A$51)</f>
        <v>OID006</v>
      </c>
      <c r="B17" s="7" t="str">
        <f ca="1">r_choice(Products!$A$2:$A$13)</f>
        <v>PRD009</v>
      </c>
      <c r="C17" s="27">
        <f t="shared" ca="1" si="0"/>
        <v>70</v>
      </c>
      <c r="D17" s="27">
        <f t="shared" ca="1" si="1"/>
        <v>37</v>
      </c>
      <c r="E17" s="27">
        <f t="shared" ca="1" si="2"/>
        <v>33</v>
      </c>
      <c r="F17"/>
      <c r="J17" t="str">
        <f t="shared" ca="1" si="3"/>
        <v>insert into items values ('OID040', 'PRD008', 122, 40, 82);</v>
      </c>
    </row>
    <row r="18" spans="1:10" ht="18" customHeight="1" x14ac:dyDescent="0.25">
      <c r="A18" s="7" t="str">
        <f ca="1">r_choice(Orders!$A$2:$A$51)</f>
        <v>OID030</v>
      </c>
      <c r="B18" s="7" t="str">
        <f ca="1">r_choice(Products!$A$2:$A$13)</f>
        <v>PRD002</v>
      </c>
      <c r="C18" s="27">
        <f t="shared" ca="1" si="0"/>
        <v>86</v>
      </c>
      <c r="D18" s="27">
        <f t="shared" ca="1" si="1"/>
        <v>34</v>
      </c>
      <c r="E18" s="27">
        <f t="shared" ca="1" si="2"/>
        <v>52</v>
      </c>
      <c r="F18"/>
      <c r="J18" t="str">
        <f t="shared" ca="1" si="3"/>
        <v>insert into items values ('OID006', 'PRD009', 70, 37, 33);</v>
      </c>
    </row>
    <row r="19" spans="1:10" ht="18" customHeight="1" x14ac:dyDescent="0.25">
      <c r="A19" s="7" t="str">
        <f ca="1">r_choice(Orders!$A$2:$A$51)</f>
        <v>OID043</v>
      </c>
      <c r="B19" s="7" t="str">
        <f ca="1">r_choice(Products!$A$2:$A$13)</f>
        <v>PRD002</v>
      </c>
      <c r="C19" s="27">
        <f t="shared" ca="1" si="0"/>
        <v>143</v>
      </c>
      <c r="D19" s="27">
        <f t="shared" ca="1" si="1"/>
        <v>59</v>
      </c>
      <c r="E19" s="27">
        <f t="shared" ca="1" si="2"/>
        <v>84</v>
      </c>
      <c r="F19"/>
      <c r="J19" t="str">
        <f t="shared" ca="1" si="3"/>
        <v>insert into items values ('OID030', 'PRD002', 86, 34, 52);</v>
      </c>
    </row>
    <row r="20" spans="1:10" ht="18" customHeight="1" x14ac:dyDescent="0.25">
      <c r="A20" s="7" t="str">
        <f ca="1">r_choice(Orders!$A$2:$A$51)</f>
        <v>OID017</v>
      </c>
      <c r="B20" s="7" t="str">
        <f ca="1">r_choice(Products!$A$2:$A$13)</f>
        <v>PRD007</v>
      </c>
      <c r="C20" s="27">
        <f t="shared" ca="1" si="0"/>
        <v>200</v>
      </c>
      <c r="D20" s="27">
        <f t="shared" ca="1" si="1"/>
        <v>148</v>
      </c>
      <c r="E20" s="27">
        <f t="shared" ca="1" si="2"/>
        <v>52</v>
      </c>
      <c r="F20"/>
      <c r="J20" t="str">
        <f t="shared" ca="1" si="3"/>
        <v>insert into items values ('OID043', 'PRD002', 143, 59, 84);</v>
      </c>
    </row>
    <row r="21" spans="1:10" ht="18" customHeight="1" x14ac:dyDescent="0.25">
      <c r="A21" s="7" t="str">
        <f ca="1">r_choice(Orders!$A$2:$A$51)</f>
        <v>OID007</v>
      </c>
      <c r="B21" s="7" t="str">
        <f ca="1">r_choice(Products!$A$2:$A$13)</f>
        <v>PRD002</v>
      </c>
      <c r="C21" s="27">
        <f t="shared" ca="1" si="0"/>
        <v>181</v>
      </c>
      <c r="D21" s="27">
        <f t="shared" ca="1" si="1"/>
        <v>122</v>
      </c>
      <c r="E21" s="27">
        <f t="shared" ca="1" si="2"/>
        <v>59</v>
      </c>
      <c r="F21"/>
      <c r="J21" t="str">
        <f t="shared" ca="1" si="3"/>
        <v>insert into items values ('OID017', 'PRD007', 200, 148, 52);</v>
      </c>
    </row>
    <row r="22" spans="1:10" ht="18" customHeight="1" x14ac:dyDescent="0.25">
      <c r="A22" s="7" t="str">
        <f ca="1">r_choice(Orders!$A$2:$A$51)</f>
        <v>OID031</v>
      </c>
      <c r="B22" s="7" t="str">
        <f ca="1">r_choice(Products!$A$2:$A$13)</f>
        <v>PRD001</v>
      </c>
      <c r="C22" s="27">
        <f t="shared" ca="1" si="0"/>
        <v>106</v>
      </c>
      <c r="D22" s="27">
        <f t="shared" ca="1" si="1"/>
        <v>63</v>
      </c>
      <c r="E22" s="27">
        <f t="shared" ca="1" si="2"/>
        <v>43</v>
      </c>
      <c r="F22"/>
      <c r="J22" t="str">
        <f t="shared" ca="1" si="3"/>
        <v>insert into items values ('OID007', 'PRD002', 181, 122, 59);</v>
      </c>
    </row>
    <row r="23" spans="1:10" ht="18" customHeight="1" x14ac:dyDescent="0.25">
      <c r="A23" s="7" t="str">
        <f ca="1">r_choice(Orders!$A$2:$A$51)</f>
        <v>OID027</v>
      </c>
      <c r="B23" s="7" t="str">
        <f ca="1">r_choice(Products!$A$2:$A$13)</f>
        <v>PRD006</v>
      </c>
      <c r="C23" s="27">
        <f t="shared" ca="1" si="0"/>
        <v>88</v>
      </c>
      <c r="D23" s="27">
        <f t="shared" ca="1" si="1"/>
        <v>40</v>
      </c>
      <c r="E23" s="27">
        <f t="shared" ca="1" si="2"/>
        <v>48</v>
      </c>
      <c r="F23"/>
      <c r="J23" t="str">
        <f t="shared" ca="1" si="3"/>
        <v>insert into items values ('OID031', 'PRD001', 106, 63, 43);</v>
      </c>
    </row>
    <row r="24" spans="1:10" ht="18" customHeight="1" x14ac:dyDescent="0.25">
      <c r="A24" s="7" t="str">
        <f ca="1">r_choice(Orders!$A$2:$A$51)</f>
        <v>OID011</v>
      </c>
      <c r="B24" s="7" t="str">
        <f ca="1">r_choice(Products!$A$2:$A$13)</f>
        <v>PRD011</v>
      </c>
      <c r="C24" s="27">
        <f t="shared" ca="1" si="0"/>
        <v>188</v>
      </c>
      <c r="D24" s="27">
        <f t="shared" ca="1" si="1"/>
        <v>98</v>
      </c>
      <c r="E24" s="27">
        <f t="shared" ca="1" si="2"/>
        <v>90</v>
      </c>
      <c r="F24"/>
      <c r="J24" t="str">
        <f t="shared" ca="1" si="3"/>
        <v>insert into items values ('OID027', 'PRD006', 88, 40, 48);</v>
      </c>
    </row>
    <row r="25" spans="1:10" ht="18" customHeight="1" x14ac:dyDescent="0.25">
      <c r="A25" s="7" t="str">
        <f ca="1">r_choice(Orders!$A$2:$A$51)</f>
        <v>OID049</v>
      </c>
      <c r="B25" s="7" t="str">
        <f ca="1">r_choice(Products!$A$2:$A$13)</f>
        <v>PRD008</v>
      </c>
      <c r="C25" s="27">
        <f t="shared" ca="1" si="0"/>
        <v>67</v>
      </c>
      <c r="D25" s="27">
        <f t="shared" ca="1" si="1"/>
        <v>37</v>
      </c>
      <c r="E25" s="27">
        <f t="shared" ca="1" si="2"/>
        <v>30</v>
      </c>
      <c r="F25"/>
      <c r="J25" t="str">
        <f t="shared" ca="1" si="3"/>
        <v>insert into items values ('OID011', 'PRD011', 188, 98, 90);</v>
      </c>
    </row>
    <row r="26" spans="1:10" ht="18" customHeight="1" x14ac:dyDescent="0.25">
      <c r="A26" s="7" t="str">
        <f ca="1">r_choice(Orders!$A$2:$A$51)</f>
        <v>OID034</v>
      </c>
      <c r="B26" s="7" t="str">
        <f ca="1">r_choice(Products!$A$2:$A$13)</f>
        <v>PRD006</v>
      </c>
      <c r="C26" s="27">
        <f t="shared" ca="1" si="0"/>
        <v>77</v>
      </c>
      <c r="D26" s="27">
        <f t="shared" ca="1" si="1"/>
        <v>36</v>
      </c>
      <c r="E26" s="27">
        <f t="shared" ca="1" si="2"/>
        <v>41</v>
      </c>
      <c r="F26"/>
      <c r="J26" t="str">
        <f t="shared" ca="1" si="3"/>
        <v>insert into items values ('OID049', 'PRD008', 67, 37, 30);</v>
      </c>
    </row>
    <row r="27" spans="1:10" ht="18" customHeight="1" x14ac:dyDescent="0.25">
      <c r="A27" s="7" t="str">
        <f ca="1">r_choice(Orders!$A$2:$A$51)</f>
        <v>OID042</v>
      </c>
      <c r="B27" s="7" t="str">
        <f ca="1">r_choice(Products!$A$2:$A$13)</f>
        <v>PRD011</v>
      </c>
      <c r="C27" s="27">
        <f t="shared" ca="1" si="0"/>
        <v>62</v>
      </c>
      <c r="D27" s="27">
        <f t="shared" ca="1" si="1"/>
        <v>31</v>
      </c>
      <c r="E27" s="27">
        <f t="shared" ca="1" si="2"/>
        <v>31</v>
      </c>
      <c r="F27"/>
      <c r="J27" t="str">
        <f t="shared" ca="1" si="3"/>
        <v>insert into items values ('OID034', 'PRD006', 77, 36, 41);</v>
      </c>
    </row>
    <row r="28" spans="1:10" ht="18" customHeight="1" x14ac:dyDescent="0.25">
      <c r="A28" s="7" t="str">
        <f ca="1">r_choice(Orders!$A$2:$A$51)</f>
        <v>OID020</v>
      </c>
      <c r="B28" s="7" t="str">
        <f ca="1">r_choice(Products!$A$2:$A$13)</f>
        <v>PRD008</v>
      </c>
      <c r="C28" s="27">
        <f t="shared" ca="1" si="0"/>
        <v>174</v>
      </c>
      <c r="D28" s="27">
        <f t="shared" ca="1" si="1"/>
        <v>32</v>
      </c>
      <c r="E28" s="27">
        <f t="shared" ca="1" si="2"/>
        <v>142</v>
      </c>
      <c r="F28"/>
      <c r="J28" t="str">
        <f t="shared" ca="1" si="3"/>
        <v>insert into items values ('OID042', 'PRD011', 62, 31, 31);</v>
      </c>
    </row>
    <row r="29" spans="1:10" ht="18" customHeight="1" x14ac:dyDescent="0.25">
      <c r="A29" s="7" t="str">
        <f ca="1">r_choice(Orders!$A$2:$A$51)</f>
        <v>OID044</v>
      </c>
      <c r="B29" s="7" t="str">
        <f ca="1">r_choice(Products!$A$2:$A$13)</f>
        <v>PRD005</v>
      </c>
      <c r="C29" s="27">
        <f t="shared" ca="1" si="0"/>
        <v>137</v>
      </c>
      <c r="D29" s="27">
        <f t="shared" ca="1" si="1"/>
        <v>69</v>
      </c>
      <c r="E29" s="27">
        <f t="shared" ca="1" si="2"/>
        <v>68</v>
      </c>
      <c r="F29"/>
      <c r="J29" t="str">
        <f t="shared" ca="1" si="3"/>
        <v>insert into items values ('OID020', 'PRD008', 174, 32, 142);</v>
      </c>
    </row>
    <row r="30" spans="1:10" ht="18" customHeight="1" x14ac:dyDescent="0.25">
      <c r="A30" s="7" t="str">
        <f ca="1">r_choice(Orders!$A$2:$A$51)</f>
        <v>OID050</v>
      </c>
      <c r="B30" s="7" t="str">
        <f ca="1">r_choice(Products!$A$2:$A$13)</f>
        <v>PRD006</v>
      </c>
      <c r="C30" s="27">
        <f t="shared" ca="1" si="0"/>
        <v>65</v>
      </c>
      <c r="D30" s="27">
        <f t="shared" ca="1" si="1"/>
        <v>30</v>
      </c>
      <c r="E30" s="27">
        <f t="shared" ca="1" si="2"/>
        <v>35</v>
      </c>
      <c r="F30"/>
      <c r="J30" t="str">
        <f t="shared" ca="1" si="3"/>
        <v>insert into items values ('OID044', 'PRD005', 137, 69, 68);</v>
      </c>
    </row>
    <row r="31" spans="1:10" ht="18" customHeight="1" x14ac:dyDescent="0.25">
      <c r="A31" s="7" t="str">
        <f ca="1">r_choice(Orders!$A$2:$A$51)</f>
        <v>OID015</v>
      </c>
      <c r="B31" s="7" t="str">
        <f ca="1">r_choice(Products!$A$2:$A$13)</f>
        <v>PRD001</v>
      </c>
      <c r="C31" s="27">
        <f t="shared" ca="1" si="0"/>
        <v>163</v>
      </c>
      <c r="D31" s="27">
        <f t="shared" ca="1" si="1"/>
        <v>72</v>
      </c>
      <c r="E31" s="27">
        <f t="shared" ca="1" si="2"/>
        <v>91</v>
      </c>
      <c r="F31"/>
      <c r="J31" t="str">
        <f t="shared" ca="1" si="3"/>
        <v>insert into items values ('OID050', 'PRD006', 65, 30, 35);</v>
      </c>
    </row>
    <row r="32" spans="1:10" ht="18" customHeight="1" x14ac:dyDescent="0.25">
      <c r="A32" s="7" t="str">
        <f ca="1">r_choice(Orders!$A$2:$A$51)</f>
        <v>OID050</v>
      </c>
      <c r="B32" s="7" t="str">
        <f ca="1">r_choice(Products!$A$2:$A$13)</f>
        <v>PRD002</v>
      </c>
      <c r="C32" s="27">
        <f t="shared" ca="1" si="0"/>
        <v>50</v>
      </c>
      <c r="D32" s="27">
        <f t="shared" ca="1" si="1"/>
        <v>27</v>
      </c>
      <c r="E32" s="27">
        <f t="shared" ca="1" si="2"/>
        <v>23</v>
      </c>
      <c r="F32"/>
      <c r="J32" t="str">
        <f t="shared" ca="1" si="3"/>
        <v>insert into items values ('OID015', 'PRD001', 163, 72, 91);</v>
      </c>
    </row>
    <row r="33" spans="1:10" ht="18" customHeight="1" x14ac:dyDescent="0.25">
      <c r="A33" s="7" t="str">
        <f ca="1">r_choice(Orders!$A$2:$A$51)</f>
        <v>OID031</v>
      </c>
      <c r="B33" s="7" t="str">
        <f ca="1">r_choice(Products!$A$2:$A$13)</f>
        <v>PRD002</v>
      </c>
      <c r="C33" s="27">
        <f t="shared" ca="1" si="0"/>
        <v>70</v>
      </c>
      <c r="D33" s="27">
        <f t="shared" ca="1" si="1"/>
        <v>33</v>
      </c>
      <c r="E33" s="27">
        <f t="shared" ca="1" si="2"/>
        <v>37</v>
      </c>
      <c r="F33"/>
      <c r="J33" t="str">
        <f t="shared" ca="1" si="3"/>
        <v>insert into items values ('OID050', 'PRD002', 50, 27, 23);</v>
      </c>
    </row>
    <row r="34" spans="1:10" ht="18" customHeight="1" x14ac:dyDescent="0.25">
      <c r="A34" s="7" t="str">
        <f ca="1">r_choice(Orders!$A$2:$A$51)</f>
        <v>OID014</v>
      </c>
      <c r="B34" s="7" t="str">
        <f ca="1">r_choice(Products!$A$2:$A$13)</f>
        <v>PRD012</v>
      </c>
      <c r="C34" s="27">
        <f t="shared" ref="C34:C65" ca="1" si="4">r_integer(50,200)</f>
        <v>120</v>
      </c>
      <c r="D34" s="27">
        <f t="shared" ref="D34:D65" ca="1" si="5">r_integer(30,C34-30)</f>
        <v>83</v>
      </c>
      <c r="E34" s="27">
        <f t="shared" ref="E34:E65" ca="1" si="6">C34-D34</f>
        <v>37</v>
      </c>
      <c r="F34"/>
      <c r="J34" t="str">
        <f t="shared" ca="1" si="3"/>
        <v>insert into items values ('OID031', 'PRD002', 70, 33, 37);</v>
      </c>
    </row>
    <row r="35" spans="1:10" ht="18" customHeight="1" x14ac:dyDescent="0.25">
      <c r="A35" s="7" t="str">
        <f ca="1">r_choice(Orders!$A$2:$A$51)</f>
        <v>OID014</v>
      </c>
      <c r="B35" s="7" t="str">
        <f ca="1">r_choice(Products!$A$2:$A$13)</f>
        <v>PRD006</v>
      </c>
      <c r="C35" s="27">
        <f t="shared" ca="1" si="4"/>
        <v>113</v>
      </c>
      <c r="D35" s="27">
        <f t="shared" ca="1" si="5"/>
        <v>43</v>
      </c>
      <c r="E35" s="27">
        <f t="shared" ca="1" si="6"/>
        <v>70</v>
      </c>
      <c r="F35"/>
      <c r="J35" t="str">
        <f t="shared" ref="J35:J66" ca="1" si="7">insertinto(A34:E34,$G$2:$H$6, "items")</f>
        <v>insert into items values ('OID014', 'PRD012', 120, 83, 37);</v>
      </c>
    </row>
    <row r="36" spans="1:10" ht="18" customHeight="1" x14ac:dyDescent="0.25">
      <c r="A36" s="7" t="str">
        <f ca="1">r_choice(Orders!$A$2:$A$51)</f>
        <v>OID024</v>
      </c>
      <c r="B36" s="7" t="str">
        <f ca="1">r_choice(Products!$A$2:$A$13)</f>
        <v>PRD010</v>
      </c>
      <c r="C36" s="27">
        <f t="shared" ca="1" si="4"/>
        <v>184</v>
      </c>
      <c r="D36" s="27">
        <f t="shared" ca="1" si="5"/>
        <v>127</v>
      </c>
      <c r="E36" s="27">
        <f t="shared" ca="1" si="6"/>
        <v>57</v>
      </c>
      <c r="F36"/>
      <c r="J36" t="str">
        <f t="shared" ca="1" si="7"/>
        <v>insert into items values ('OID014', 'PRD006', 113, 43, 70);</v>
      </c>
    </row>
    <row r="37" spans="1:10" ht="18" customHeight="1" x14ac:dyDescent="0.25">
      <c r="A37" s="7" t="str">
        <f ca="1">r_choice(Orders!$A$2:$A$51)</f>
        <v>OID038</v>
      </c>
      <c r="B37" s="7" t="str">
        <f ca="1">r_choice(Products!$A$2:$A$13)</f>
        <v>PRD009</v>
      </c>
      <c r="C37" s="27">
        <f t="shared" ca="1" si="4"/>
        <v>50</v>
      </c>
      <c r="D37" s="27">
        <f t="shared" ca="1" si="5"/>
        <v>25</v>
      </c>
      <c r="E37" s="27">
        <f t="shared" ca="1" si="6"/>
        <v>25</v>
      </c>
      <c r="F37"/>
      <c r="J37" t="str">
        <f t="shared" ca="1" si="7"/>
        <v>insert into items values ('OID024', 'PRD010', 184, 127, 57);</v>
      </c>
    </row>
    <row r="38" spans="1:10" ht="18" customHeight="1" x14ac:dyDescent="0.25">
      <c r="A38" s="7" t="str">
        <f ca="1">r_choice(Orders!$A$2:$A$51)</f>
        <v>OID038</v>
      </c>
      <c r="B38" s="7" t="str">
        <f ca="1">r_choice(Products!$A$2:$A$13)</f>
        <v>PRD010</v>
      </c>
      <c r="C38" s="27">
        <f t="shared" ca="1" si="4"/>
        <v>54</v>
      </c>
      <c r="D38" s="27">
        <f t="shared" ca="1" si="5"/>
        <v>27</v>
      </c>
      <c r="E38" s="27">
        <f t="shared" ca="1" si="6"/>
        <v>27</v>
      </c>
      <c r="F38"/>
      <c r="J38" t="str">
        <f t="shared" ca="1" si="7"/>
        <v>insert into items values ('OID038', 'PRD009', 50, 25, 25);</v>
      </c>
    </row>
    <row r="39" spans="1:10" ht="18" customHeight="1" x14ac:dyDescent="0.25">
      <c r="A39" s="7" t="str">
        <f ca="1">r_choice(Orders!$A$2:$A$51)</f>
        <v>OID031</v>
      </c>
      <c r="B39" s="7" t="str">
        <f ca="1">r_choice(Products!$A$2:$A$13)</f>
        <v>PRD011</v>
      </c>
      <c r="C39" s="27">
        <f t="shared" ca="1" si="4"/>
        <v>143</v>
      </c>
      <c r="D39" s="27">
        <f t="shared" ca="1" si="5"/>
        <v>48</v>
      </c>
      <c r="E39" s="27">
        <f t="shared" ca="1" si="6"/>
        <v>95</v>
      </c>
      <c r="F39"/>
      <c r="J39" t="str">
        <f t="shared" ca="1" si="7"/>
        <v>insert into items values ('OID038', 'PRD010', 54, 27, 27);</v>
      </c>
    </row>
    <row r="40" spans="1:10" ht="18" customHeight="1" x14ac:dyDescent="0.25">
      <c r="A40" s="7" t="str">
        <f ca="1">r_choice(Orders!$A$2:$A$51)</f>
        <v>OID013</v>
      </c>
      <c r="B40" s="7" t="str">
        <f ca="1">r_choice(Products!$A$2:$A$13)</f>
        <v>PRD007</v>
      </c>
      <c r="C40" s="27">
        <f t="shared" ca="1" si="4"/>
        <v>60</v>
      </c>
      <c r="D40" s="27">
        <f t="shared" ca="1" si="5"/>
        <v>30</v>
      </c>
      <c r="E40" s="27">
        <f t="shared" ca="1" si="6"/>
        <v>30</v>
      </c>
      <c r="F40"/>
      <c r="J40" t="str">
        <f t="shared" ca="1" si="7"/>
        <v>insert into items values ('OID031', 'PRD011', 143, 48, 95);</v>
      </c>
    </row>
    <row r="41" spans="1:10" ht="18" customHeight="1" x14ac:dyDescent="0.25">
      <c r="A41" s="7" t="str">
        <f ca="1">r_choice(Orders!$A$2:$A$51)</f>
        <v>OID026</v>
      </c>
      <c r="B41" s="7" t="str">
        <f ca="1">r_choice(Products!$A$2:$A$13)</f>
        <v>PRD009</v>
      </c>
      <c r="C41" s="27">
        <f t="shared" ca="1" si="4"/>
        <v>160</v>
      </c>
      <c r="D41" s="27">
        <f t="shared" ca="1" si="5"/>
        <v>73</v>
      </c>
      <c r="E41" s="27">
        <f t="shared" ca="1" si="6"/>
        <v>87</v>
      </c>
      <c r="F41"/>
      <c r="J41" t="str">
        <f t="shared" ca="1" si="7"/>
        <v>insert into items values ('OID013', 'PRD007', 60, 30, 30);</v>
      </c>
    </row>
    <row r="42" spans="1:10" ht="18" customHeight="1" x14ac:dyDescent="0.25">
      <c r="A42" s="7" t="str">
        <f ca="1">r_choice(Orders!$A$2:$A$51)</f>
        <v>OID035</v>
      </c>
      <c r="B42" s="7" t="str">
        <f ca="1">r_choice(Products!$A$2:$A$13)</f>
        <v>PRD009</v>
      </c>
      <c r="C42" s="27">
        <f t="shared" ca="1" si="4"/>
        <v>84</v>
      </c>
      <c r="D42" s="27">
        <f t="shared" ca="1" si="5"/>
        <v>48</v>
      </c>
      <c r="E42" s="27">
        <f t="shared" ca="1" si="6"/>
        <v>36</v>
      </c>
      <c r="F42"/>
      <c r="J42" t="str">
        <f t="shared" ca="1" si="7"/>
        <v>insert into items values ('OID026', 'PRD009', 160, 73, 87);</v>
      </c>
    </row>
    <row r="43" spans="1:10" ht="18" customHeight="1" x14ac:dyDescent="0.25">
      <c r="A43" s="7" t="str">
        <f ca="1">r_choice(Orders!$A$2:$A$51)</f>
        <v>OID025</v>
      </c>
      <c r="B43" s="7" t="str">
        <f ca="1">r_choice(Products!$A$2:$A$13)</f>
        <v>PRD010</v>
      </c>
      <c r="C43" s="27">
        <f t="shared" ca="1" si="4"/>
        <v>86</v>
      </c>
      <c r="D43" s="27">
        <f t="shared" ca="1" si="5"/>
        <v>44</v>
      </c>
      <c r="E43" s="27">
        <f t="shared" ca="1" si="6"/>
        <v>42</v>
      </c>
      <c r="F43"/>
      <c r="J43" t="str">
        <f t="shared" ca="1" si="7"/>
        <v>insert into items values ('OID035', 'PRD009', 84, 48, 36);</v>
      </c>
    </row>
    <row r="44" spans="1:10" ht="18" customHeight="1" x14ac:dyDescent="0.25">
      <c r="A44" s="7" t="str">
        <f ca="1">r_choice(Orders!$A$2:$A$51)</f>
        <v>OID025</v>
      </c>
      <c r="B44" s="7" t="str">
        <f ca="1">r_choice(Products!$A$2:$A$13)</f>
        <v>PRD005</v>
      </c>
      <c r="C44" s="27">
        <f t="shared" ca="1" si="4"/>
        <v>66</v>
      </c>
      <c r="D44" s="27">
        <f t="shared" ca="1" si="5"/>
        <v>32</v>
      </c>
      <c r="E44" s="27">
        <f t="shared" ca="1" si="6"/>
        <v>34</v>
      </c>
      <c r="F44"/>
      <c r="J44" t="str">
        <f t="shared" ca="1" si="7"/>
        <v>insert into items values ('OID025', 'PRD010', 86, 44, 42);</v>
      </c>
    </row>
    <row r="45" spans="1:10" ht="18" customHeight="1" x14ac:dyDescent="0.25">
      <c r="A45" s="7" t="str">
        <f ca="1">r_choice(Orders!$A$2:$A$51)</f>
        <v>OID044</v>
      </c>
      <c r="B45" s="7" t="str">
        <f ca="1">r_choice(Products!$A$2:$A$13)</f>
        <v>PRD004</v>
      </c>
      <c r="C45" s="27">
        <f t="shared" ca="1" si="4"/>
        <v>73</v>
      </c>
      <c r="D45" s="27">
        <f t="shared" ca="1" si="5"/>
        <v>35</v>
      </c>
      <c r="E45" s="27">
        <f t="shared" ca="1" si="6"/>
        <v>38</v>
      </c>
      <c r="F45"/>
      <c r="J45" t="str">
        <f t="shared" ca="1" si="7"/>
        <v>insert into items values ('OID025', 'PRD005', 66, 32, 34);</v>
      </c>
    </row>
    <row r="46" spans="1:10" ht="18" customHeight="1" x14ac:dyDescent="0.25">
      <c r="A46" s="7" t="str">
        <f ca="1">r_choice(Orders!$A$2:$A$51)</f>
        <v>OID045</v>
      </c>
      <c r="B46" s="7" t="str">
        <f ca="1">r_choice(Products!$A$2:$A$13)</f>
        <v>PRD005</v>
      </c>
      <c r="C46" s="27">
        <f t="shared" ca="1" si="4"/>
        <v>95</v>
      </c>
      <c r="D46" s="27">
        <f t="shared" ca="1" si="5"/>
        <v>49</v>
      </c>
      <c r="E46" s="27">
        <f t="shared" ca="1" si="6"/>
        <v>46</v>
      </c>
      <c r="F46"/>
      <c r="J46" t="str">
        <f t="shared" ca="1" si="7"/>
        <v>insert into items values ('OID044', 'PRD004', 73, 35, 38);</v>
      </c>
    </row>
    <row r="47" spans="1:10" ht="18" customHeight="1" x14ac:dyDescent="0.25">
      <c r="A47" s="7" t="str">
        <f ca="1">r_choice(Orders!$A$2:$A$51)</f>
        <v>OID027</v>
      </c>
      <c r="B47" s="7" t="str">
        <f ca="1">r_choice(Products!$A$2:$A$13)</f>
        <v>PRD001</v>
      </c>
      <c r="C47" s="27">
        <f t="shared" ca="1" si="4"/>
        <v>122</v>
      </c>
      <c r="D47" s="27">
        <f t="shared" ca="1" si="5"/>
        <v>75</v>
      </c>
      <c r="E47" s="27">
        <f t="shared" ca="1" si="6"/>
        <v>47</v>
      </c>
      <c r="F47"/>
      <c r="J47" t="str">
        <f t="shared" ca="1" si="7"/>
        <v>insert into items values ('OID045', 'PRD005', 95, 49, 46);</v>
      </c>
    </row>
    <row r="48" spans="1:10" ht="18" customHeight="1" x14ac:dyDescent="0.25">
      <c r="A48" s="7" t="str">
        <f ca="1">r_choice(Orders!$A$2:$A$51)</f>
        <v>OID043</v>
      </c>
      <c r="B48" s="7" t="str">
        <f ca="1">r_choice(Products!$A$2:$A$13)</f>
        <v>PRD009</v>
      </c>
      <c r="C48" s="27">
        <f t="shared" ca="1" si="4"/>
        <v>108</v>
      </c>
      <c r="D48" s="27">
        <f t="shared" ca="1" si="5"/>
        <v>51</v>
      </c>
      <c r="E48" s="27">
        <f t="shared" ca="1" si="6"/>
        <v>57</v>
      </c>
      <c r="F48"/>
      <c r="J48" t="str">
        <f t="shared" ca="1" si="7"/>
        <v>insert into items values ('OID027', 'PRD001', 122, 75, 47);</v>
      </c>
    </row>
    <row r="49" spans="1:10" ht="18" customHeight="1" x14ac:dyDescent="0.25">
      <c r="A49" s="7" t="str">
        <f ca="1">r_choice(Orders!$A$2:$A$51)</f>
        <v>OID038</v>
      </c>
      <c r="B49" s="7" t="str">
        <f ca="1">r_choice(Products!$A$2:$A$13)</f>
        <v>PRD008</v>
      </c>
      <c r="C49" s="27">
        <f t="shared" ca="1" si="4"/>
        <v>166</v>
      </c>
      <c r="D49" s="27">
        <f t="shared" ca="1" si="5"/>
        <v>126</v>
      </c>
      <c r="E49" s="27">
        <f t="shared" ca="1" si="6"/>
        <v>40</v>
      </c>
      <c r="F49"/>
      <c r="J49" t="str">
        <f t="shared" ca="1" si="7"/>
        <v>insert into items values ('OID043', 'PRD009', 108, 51, 57);</v>
      </c>
    </row>
    <row r="50" spans="1:10" ht="18" customHeight="1" x14ac:dyDescent="0.25">
      <c r="A50" s="7" t="str">
        <f ca="1">r_choice(Orders!$A$2:$A$51)</f>
        <v>OID049</v>
      </c>
      <c r="B50" s="7" t="str">
        <f ca="1">r_choice(Products!$A$2:$A$13)</f>
        <v>PRD003</v>
      </c>
      <c r="C50" s="27">
        <f t="shared" ca="1" si="4"/>
        <v>79</v>
      </c>
      <c r="D50" s="27">
        <f t="shared" ca="1" si="5"/>
        <v>34</v>
      </c>
      <c r="E50" s="27">
        <f t="shared" ca="1" si="6"/>
        <v>45</v>
      </c>
      <c r="F50"/>
      <c r="J50" t="str">
        <f t="shared" ca="1" si="7"/>
        <v>insert into items values ('OID038', 'PRD008', 166, 126, 40);</v>
      </c>
    </row>
    <row r="51" spans="1:10" ht="18" customHeight="1" x14ac:dyDescent="0.25">
      <c r="A51" s="7" t="str">
        <f ca="1">r_choice(Orders!$A$2:$A$51)</f>
        <v>OID028</v>
      </c>
      <c r="B51" s="7" t="str">
        <f ca="1">r_choice(Products!$A$2:$A$13)</f>
        <v>PRD009</v>
      </c>
      <c r="C51" s="27">
        <f t="shared" ca="1" si="4"/>
        <v>156</v>
      </c>
      <c r="D51" s="27">
        <f t="shared" ca="1" si="5"/>
        <v>61</v>
      </c>
      <c r="E51" s="27">
        <f t="shared" ca="1" si="6"/>
        <v>95</v>
      </c>
      <c r="F51"/>
      <c r="J51" t="str">
        <f t="shared" ca="1" si="7"/>
        <v>insert into items values ('OID049', 'PRD003', 79, 34, 45);</v>
      </c>
    </row>
    <row r="52" spans="1:10" ht="18" customHeight="1" x14ac:dyDescent="0.25">
      <c r="A52" s="7" t="str">
        <f ca="1">r_choice(Orders!$A$2:$A$51)</f>
        <v>OID043</v>
      </c>
      <c r="B52" s="7" t="str">
        <f ca="1">r_choice(Products!$A$2:$A$13)</f>
        <v>PRD006</v>
      </c>
      <c r="C52" s="27">
        <f t="shared" ca="1" si="4"/>
        <v>83</v>
      </c>
      <c r="D52" s="27">
        <f t="shared" ca="1" si="5"/>
        <v>39</v>
      </c>
      <c r="E52" s="27">
        <f t="shared" ca="1" si="6"/>
        <v>44</v>
      </c>
      <c r="F52"/>
      <c r="J52" t="str">
        <f t="shared" ca="1" si="7"/>
        <v>insert into items values ('OID028', 'PRD009', 156, 61, 95);</v>
      </c>
    </row>
    <row r="53" spans="1:10" ht="18" customHeight="1" x14ac:dyDescent="0.25">
      <c r="A53" s="7" t="str">
        <f ca="1">r_choice(Orders!$A$2:$A$51)</f>
        <v>OID032</v>
      </c>
      <c r="B53" s="7" t="str">
        <f ca="1">r_choice(Products!$A$2:$A$13)</f>
        <v>PRD006</v>
      </c>
      <c r="C53" s="27">
        <f t="shared" ca="1" si="4"/>
        <v>180</v>
      </c>
      <c r="D53" s="27">
        <f t="shared" ca="1" si="5"/>
        <v>71</v>
      </c>
      <c r="E53" s="27">
        <f t="shared" ca="1" si="6"/>
        <v>109</v>
      </c>
      <c r="F53"/>
      <c r="J53" t="str">
        <f t="shared" ca="1" si="7"/>
        <v>insert into items values ('OID043', 'PRD006', 83, 39, 44);</v>
      </c>
    </row>
    <row r="54" spans="1:10" ht="18" customHeight="1" x14ac:dyDescent="0.25">
      <c r="A54" s="7" t="str">
        <f ca="1">r_choice(Orders!$A$2:$A$51)</f>
        <v>OID047</v>
      </c>
      <c r="B54" s="7" t="str">
        <f ca="1">r_choice(Products!$A$2:$A$13)</f>
        <v>PRD006</v>
      </c>
      <c r="C54" s="27">
        <f t="shared" ca="1" si="4"/>
        <v>94</v>
      </c>
      <c r="D54" s="27">
        <f t="shared" ca="1" si="5"/>
        <v>43</v>
      </c>
      <c r="E54" s="27">
        <f t="shared" ca="1" si="6"/>
        <v>51</v>
      </c>
      <c r="F54"/>
      <c r="J54" t="str">
        <f t="shared" ca="1" si="7"/>
        <v>insert into items values ('OID032', 'PRD006', 180, 71, 109);</v>
      </c>
    </row>
    <row r="55" spans="1:10" ht="18" customHeight="1" x14ac:dyDescent="0.25">
      <c r="A55" s="7" t="str">
        <f ca="1">r_choice(Orders!$A$2:$A$51)</f>
        <v>OID041</v>
      </c>
      <c r="B55" s="7" t="str">
        <f ca="1">r_choice(Products!$A$2:$A$13)</f>
        <v>PRD007</v>
      </c>
      <c r="C55" s="27">
        <f t="shared" ca="1" si="4"/>
        <v>99</v>
      </c>
      <c r="D55" s="27">
        <f t="shared" ca="1" si="5"/>
        <v>35</v>
      </c>
      <c r="E55" s="27">
        <f t="shared" ca="1" si="6"/>
        <v>64</v>
      </c>
      <c r="F55"/>
      <c r="J55" t="str">
        <f t="shared" ca="1" si="7"/>
        <v>insert into items values ('OID047', 'PRD006', 94, 43, 51);</v>
      </c>
    </row>
    <row r="56" spans="1:10" ht="18" customHeight="1" x14ac:dyDescent="0.25">
      <c r="A56" s="7" t="str">
        <f ca="1">r_choice(Orders!$A$2:$A$51)</f>
        <v>OID014</v>
      </c>
      <c r="B56" s="7" t="str">
        <f ca="1">r_choice(Products!$A$2:$A$13)</f>
        <v>PRD001</v>
      </c>
      <c r="C56" s="27">
        <f t="shared" ca="1" si="4"/>
        <v>195</v>
      </c>
      <c r="D56" s="27">
        <f t="shared" ca="1" si="5"/>
        <v>64</v>
      </c>
      <c r="E56" s="27">
        <f t="shared" ca="1" si="6"/>
        <v>131</v>
      </c>
      <c r="F56"/>
      <c r="J56" t="str">
        <f t="shared" ca="1" si="7"/>
        <v>insert into items values ('OID041', 'PRD007', 99, 35, 64);</v>
      </c>
    </row>
    <row r="57" spans="1:10" ht="18" customHeight="1" x14ac:dyDescent="0.25">
      <c r="A57" s="7" t="str">
        <f ca="1">r_choice(Orders!$A$2:$A$51)</f>
        <v>OID046</v>
      </c>
      <c r="B57" s="7" t="str">
        <f ca="1">r_choice(Products!$A$2:$A$13)</f>
        <v>PRD012</v>
      </c>
      <c r="C57" s="27">
        <f t="shared" ca="1" si="4"/>
        <v>53</v>
      </c>
      <c r="D57" s="27">
        <f t="shared" ca="1" si="5"/>
        <v>26</v>
      </c>
      <c r="E57" s="27">
        <f t="shared" ca="1" si="6"/>
        <v>27</v>
      </c>
      <c r="F57"/>
      <c r="J57" t="str">
        <f t="shared" ca="1" si="7"/>
        <v>insert into items values ('OID014', 'PRD001', 195, 64, 131);</v>
      </c>
    </row>
    <row r="58" spans="1:10" ht="18" customHeight="1" x14ac:dyDescent="0.25">
      <c r="A58" s="7" t="str">
        <f ca="1">r_choice(Orders!$A$2:$A$51)</f>
        <v>OID028</v>
      </c>
      <c r="B58" s="7" t="str">
        <f ca="1">r_choice(Products!$A$2:$A$13)</f>
        <v>PRD007</v>
      </c>
      <c r="C58" s="27">
        <f t="shared" ca="1" si="4"/>
        <v>132</v>
      </c>
      <c r="D58" s="27">
        <f t="shared" ca="1" si="5"/>
        <v>72</v>
      </c>
      <c r="E58" s="27">
        <f t="shared" ca="1" si="6"/>
        <v>60</v>
      </c>
      <c r="F58"/>
      <c r="J58" t="str">
        <f t="shared" ca="1" si="7"/>
        <v>insert into items values ('OID046', 'PRD012', 53, 26, 27);</v>
      </c>
    </row>
    <row r="59" spans="1:10" ht="18" customHeight="1" x14ac:dyDescent="0.25">
      <c r="A59" s="7" t="str">
        <f ca="1">r_choice(Orders!$A$2:$A$51)</f>
        <v>OID043</v>
      </c>
      <c r="B59" s="7" t="str">
        <f ca="1">r_choice(Products!$A$2:$A$13)</f>
        <v>PRD007</v>
      </c>
      <c r="C59" s="27">
        <f t="shared" ca="1" si="4"/>
        <v>93</v>
      </c>
      <c r="D59" s="27">
        <f t="shared" ca="1" si="5"/>
        <v>61</v>
      </c>
      <c r="E59" s="27">
        <f t="shared" ca="1" si="6"/>
        <v>32</v>
      </c>
      <c r="F59"/>
      <c r="J59" t="str">
        <f t="shared" ca="1" si="7"/>
        <v>insert into items values ('OID028', 'PRD007', 132, 72, 60);</v>
      </c>
    </row>
    <row r="60" spans="1:10" ht="18" customHeight="1" x14ac:dyDescent="0.25">
      <c r="A60" s="7" t="str">
        <f ca="1">r_choice(Orders!$A$2:$A$51)</f>
        <v>OID024</v>
      </c>
      <c r="B60" s="7" t="str">
        <f ca="1">r_choice(Products!$A$2:$A$13)</f>
        <v>PRD007</v>
      </c>
      <c r="C60" s="27">
        <f t="shared" ca="1" si="4"/>
        <v>121</v>
      </c>
      <c r="D60" s="27">
        <f t="shared" ca="1" si="5"/>
        <v>86</v>
      </c>
      <c r="E60" s="27">
        <f t="shared" ca="1" si="6"/>
        <v>35</v>
      </c>
      <c r="F60"/>
      <c r="J60" t="str">
        <f t="shared" ca="1" si="7"/>
        <v>insert into items values ('OID043', 'PRD007', 93, 61, 32);</v>
      </c>
    </row>
    <row r="61" spans="1:10" ht="18" customHeight="1" x14ac:dyDescent="0.25">
      <c r="A61" s="7" t="str">
        <f ca="1">r_choice(Orders!$A$2:$A$51)</f>
        <v>OID017</v>
      </c>
      <c r="B61" s="7" t="str">
        <f ca="1">r_choice(Products!$A$2:$A$13)</f>
        <v>PRD010</v>
      </c>
      <c r="C61" s="27">
        <f t="shared" ca="1" si="4"/>
        <v>145</v>
      </c>
      <c r="D61" s="27">
        <f t="shared" ca="1" si="5"/>
        <v>51</v>
      </c>
      <c r="E61" s="27">
        <f t="shared" ca="1" si="6"/>
        <v>94</v>
      </c>
      <c r="F61"/>
      <c r="J61" t="str">
        <f t="shared" ca="1" si="7"/>
        <v>insert into items values ('OID024', 'PRD007', 121, 86, 35);</v>
      </c>
    </row>
    <row r="62" spans="1:10" ht="18" customHeight="1" x14ac:dyDescent="0.25">
      <c r="A62" s="7" t="str">
        <f ca="1">r_choice(Orders!$A$2:$A$51)</f>
        <v>OID018</v>
      </c>
      <c r="B62" s="7" t="str">
        <f ca="1">r_choice(Products!$A$2:$A$13)</f>
        <v>PRD002</v>
      </c>
      <c r="C62" s="27">
        <f t="shared" ca="1" si="4"/>
        <v>119</v>
      </c>
      <c r="D62" s="27">
        <f t="shared" ca="1" si="5"/>
        <v>36</v>
      </c>
      <c r="E62" s="27">
        <f t="shared" ca="1" si="6"/>
        <v>83</v>
      </c>
      <c r="F62"/>
      <c r="J62" t="str">
        <f t="shared" ca="1" si="7"/>
        <v>insert into items values ('OID017', 'PRD010', 145, 51, 94);</v>
      </c>
    </row>
    <row r="63" spans="1:10" ht="18" customHeight="1" x14ac:dyDescent="0.25">
      <c r="A63" s="7" t="str">
        <f ca="1">r_choice(Orders!$A$2:$A$51)</f>
        <v>OID047</v>
      </c>
      <c r="B63" s="7" t="str">
        <f ca="1">r_choice(Products!$A$2:$A$13)</f>
        <v>PRD006</v>
      </c>
      <c r="C63" s="27">
        <f t="shared" ca="1" si="4"/>
        <v>177</v>
      </c>
      <c r="D63" s="27">
        <f t="shared" ca="1" si="5"/>
        <v>141</v>
      </c>
      <c r="E63" s="27">
        <f t="shared" ca="1" si="6"/>
        <v>36</v>
      </c>
      <c r="F63"/>
      <c r="J63" t="str">
        <f t="shared" ca="1" si="7"/>
        <v>insert into items values ('OID018', 'PRD002', 119, 36, 83);</v>
      </c>
    </row>
    <row r="64" spans="1:10" ht="18" customHeight="1" x14ac:dyDescent="0.25">
      <c r="A64" s="7" t="str">
        <f ca="1">r_choice(Orders!$A$2:$A$51)</f>
        <v>OID001</v>
      </c>
      <c r="B64" s="7" t="str">
        <f ca="1">r_choice(Products!$A$2:$A$13)</f>
        <v>PRD008</v>
      </c>
      <c r="C64" s="27">
        <f t="shared" ca="1" si="4"/>
        <v>143</v>
      </c>
      <c r="D64" s="27">
        <f t="shared" ca="1" si="5"/>
        <v>65</v>
      </c>
      <c r="E64" s="27">
        <f t="shared" ca="1" si="6"/>
        <v>78</v>
      </c>
      <c r="F64"/>
      <c r="J64" t="str">
        <f t="shared" ca="1" si="7"/>
        <v>insert into items values ('OID047', 'PRD006', 177, 141, 36);</v>
      </c>
    </row>
    <row r="65" spans="1:10" ht="18" customHeight="1" x14ac:dyDescent="0.25">
      <c r="A65" s="7" t="str">
        <f ca="1">r_choice(Orders!$A$2:$A$51)</f>
        <v>OID015</v>
      </c>
      <c r="B65" s="7" t="str">
        <f ca="1">r_choice(Products!$A$2:$A$13)</f>
        <v>PRD005</v>
      </c>
      <c r="C65" s="27">
        <f t="shared" ca="1" si="4"/>
        <v>60</v>
      </c>
      <c r="D65" s="27">
        <f t="shared" ca="1" si="5"/>
        <v>30</v>
      </c>
      <c r="E65" s="27">
        <f t="shared" ca="1" si="6"/>
        <v>30</v>
      </c>
      <c r="F65"/>
      <c r="J65" t="str">
        <f t="shared" ca="1" si="7"/>
        <v>insert into items values ('OID001', 'PRD008', 143, 65, 78);</v>
      </c>
    </row>
    <row r="66" spans="1:10" ht="18" customHeight="1" x14ac:dyDescent="0.25">
      <c r="A66" s="7" t="str">
        <f ca="1">r_choice(Orders!$A$2:$A$51)</f>
        <v>OID040</v>
      </c>
      <c r="B66" s="7" t="str">
        <f ca="1">r_choice(Products!$A$2:$A$13)</f>
        <v>PRD011</v>
      </c>
      <c r="C66" s="27">
        <f t="shared" ref="C66:C97" ca="1" si="8">r_integer(50,200)</f>
        <v>58</v>
      </c>
      <c r="D66" s="27">
        <f t="shared" ref="D66:D97" ca="1" si="9">r_integer(30,C66-30)</f>
        <v>29</v>
      </c>
      <c r="E66" s="27">
        <f t="shared" ref="E66:E97" ca="1" si="10">C66-D66</f>
        <v>29</v>
      </c>
      <c r="F66"/>
      <c r="J66" t="str">
        <f t="shared" ca="1" si="7"/>
        <v>insert into items values ('OID015', 'PRD005', 60, 30, 30);</v>
      </c>
    </row>
    <row r="67" spans="1:10" ht="18" customHeight="1" x14ac:dyDescent="0.25">
      <c r="A67" s="7" t="str">
        <f ca="1">r_choice(Orders!$A$2:$A$51)</f>
        <v>OID036</v>
      </c>
      <c r="B67" s="7" t="str">
        <f ca="1">r_choice(Products!$A$2:$A$13)</f>
        <v>PRD009</v>
      </c>
      <c r="C67" s="27">
        <f t="shared" ca="1" si="8"/>
        <v>84</v>
      </c>
      <c r="D67" s="27">
        <f t="shared" ca="1" si="9"/>
        <v>45</v>
      </c>
      <c r="E67" s="27">
        <f t="shared" ca="1" si="10"/>
        <v>39</v>
      </c>
      <c r="F67"/>
      <c r="J67" t="str">
        <f t="shared" ref="J67:J98" ca="1" si="11">insertinto(A66:E66,$G$2:$H$6, "items")</f>
        <v>insert into items values ('OID040', 'PRD011', 58, 29, 29);</v>
      </c>
    </row>
    <row r="68" spans="1:10" ht="18" customHeight="1" x14ac:dyDescent="0.25">
      <c r="A68" s="7" t="str">
        <f ca="1">r_choice(Orders!$A$2:$A$51)</f>
        <v>OID028</v>
      </c>
      <c r="B68" s="7" t="str">
        <f ca="1">r_choice(Products!$A$2:$A$13)</f>
        <v>PRD003</v>
      </c>
      <c r="C68" s="27">
        <f t="shared" ca="1" si="8"/>
        <v>104</v>
      </c>
      <c r="D68" s="27">
        <f t="shared" ca="1" si="9"/>
        <v>57</v>
      </c>
      <c r="E68" s="27">
        <f t="shared" ca="1" si="10"/>
        <v>47</v>
      </c>
      <c r="F68"/>
      <c r="J68" t="str">
        <f t="shared" ca="1" si="11"/>
        <v>insert into items values ('OID036', 'PRD009', 84, 45, 39);</v>
      </c>
    </row>
    <row r="69" spans="1:10" ht="18" customHeight="1" x14ac:dyDescent="0.25">
      <c r="A69" s="7" t="str">
        <f ca="1">r_choice(Orders!$A$2:$A$51)</f>
        <v>OID021</v>
      </c>
      <c r="B69" s="7" t="str">
        <f ca="1">r_choice(Products!$A$2:$A$13)</f>
        <v>PRD004</v>
      </c>
      <c r="C69" s="27">
        <f t="shared" ca="1" si="8"/>
        <v>134</v>
      </c>
      <c r="D69" s="27">
        <f t="shared" ca="1" si="9"/>
        <v>71</v>
      </c>
      <c r="E69" s="27">
        <f t="shared" ca="1" si="10"/>
        <v>63</v>
      </c>
      <c r="F69"/>
      <c r="J69" t="str">
        <f t="shared" ca="1" si="11"/>
        <v>insert into items values ('OID028', 'PRD003', 104, 57, 47);</v>
      </c>
    </row>
    <row r="70" spans="1:10" ht="18" customHeight="1" x14ac:dyDescent="0.25">
      <c r="A70" s="7" t="str">
        <f ca="1">r_choice(Orders!$A$2:$A$51)</f>
        <v>OID035</v>
      </c>
      <c r="B70" s="7" t="str">
        <f ca="1">r_choice(Products!$A$2:$A$13)</f>
        <v>PRD006</v>
      </c>
      <c r="C70" s="27">
        <f t="shared" ca="1" si="8"/>
        <v>59</v>
      </c>
      <c r="D70" s="27">
        <f t="shared" ca="1" si="9"/>
        <v>30</v>
      </c>
      <c r="E70" s="27">
        <f t="shared" ca="1" si="10"/>
        <v>29</v>
      </c>
      <c r="F70"/>
      <c r="J70" t="str">
        <f t="shared" ca="1" si="11"/>
        <v>insert into items values ('OID021', 'PRD004', 134, 71, 63);</v>
      </c>
    </row>
    <row r="71" spans="1:10" ht="18" customHeight="1" x14ac:dyDescent="0.25">
      <c r="A71" s="7" t="str">
        <f ca="1">r_choice(Orders!$A$2:$A$51)</f>
        <v>OID028</v>
      </c>
      <c r="B71" s="7" t="str">
        <f ca="1">r_choice(Products!$A$2:$A$13)</f>
        <v>PRD009</v>
      </c>
      <c r="C71" s="27">
        <f t="shared" ca="1" si="8"/>
        <v>137</v>
      </c>
      <c r="D71" s="27">
        <f t="shared" ca="1" si="9"/>
        <v>96</v>
      </c>
      <c r="E71" s="27">
        <f t="shared" ca="1" si="10"/>
        <v>41</v>
      </c>
      <c r="F71"/>
      <c r="J71" t="str">
        <f t="shared" ca="1" si="11"/>
        <v>insert into items values ('OID035', 'PRD006', 59, 30, 29);</v>
      </c>
    </row>
    <row r="72" spans="1:10" ht="18" customHeight="1" x14ac:dyDescent="0.25">
      <c r="A72" s="7" t="str">
        <f ca="1">r_choice(Orders!$A$2:$A$51)</f>
        <v>OID018</v>
      </c>
      <c r="B72" s="7" t="str">
        <f ca="1">r_choice(Products!$A$2:$A$13)</f>
        <v>PRD001</v>
      </c>
      <c r="C72" s="27">
        <f t="shared" ca="1" si="8"/>
        <v>186</v>
      </c>
      <c r="D72" s="27">
        <f t="shared" ca="1" si="9"/>
        <v>107</v>
      </c>
      <c r="E72" s="27">
        <f t="shared" ca="1" si="10"/>
        <v>79</v>
      </c>
      <c r="F72"/>
      <c r="J72" t="str">
        <f t="shared" ca="1" si="11"/>
        <v>insert into items values ('OID028', 'PRD009', 137, 96, 41);</v>
      </c>
    </row>
    <row r="73" spans="1:10" ht="18" customHeight="1" x14ac:dyDescent="0.25">
      <c r="A73" s="7" t="str">
        <f ca="1">r_choice(Orders!$A$2:$A$51)</f>
        <v>OID037</v>
      </c>
      <c r="B73" s="7" t="str">
        <f ca="1">r_choice(Products!$A$2:$A$13)</f>
        <v>PRD003</v>
      </c>
      <c r="C73" s="27">
        <f t="shared" ca="1" si="8"/>
        <v>84</v>
      </c>
      <c r="D73" s="27">
        <f t="shared" ca="1" si="9"/>
        <v>38</v>
      </c>
      <c r="E73" s="27">
        <f t="shared" ca="1" si="10"/>
        <v>46</v>
      </c>
      <c r="F73"/>
      <c r="J73" t="str">
        <f t="shared" ca="1" si="11"/>
        <v>insert into items values ('OID018', 'PRD001', 186, 107, 79);</v>
      </c>
    </row>
    <row r="74" spans="1:10" ht="18" customHeight="1" x14ac:dyDescent="0.25">
      <c r="A74" s="7" t="str">
        <f ca="1">r_choice(Orders!$A$2:$A$51)</f>
        <v>OID022</v>
      </c>
      <c r="B74" s="7" t="str">
        <f ca="1">r_choice(Products!$A$2:$A$13)</f>
        <v>PRD010</v>
      </c>
      <c r="C74" s="27">
        <f t="shared" ca="1" si="8"/>
        <v>72</v>
      </c>
      <c r="D74" s="27">
        <f t="shared" ca="1" si="9"/>
        <v>36</v>
      </c>
      <c r="E74" s="27">
        <f t="shared" ca="1" si="10"/>
        <v>36</v>
      </c>
      <c r="F74"/>
      <c r="J74" t="str">
        <f t="shared" ca="1" si="11"/>
        <v>insert into items values ('OID037', 'PRD003', 84, 38, 46);</v>
      </c>
    </row>
    <row r="75" spans="1:10" ht="18" customHeight="1" x14ac:dyDescent="0.25">
      <c r="A75" s="7" t="str">
        <f ca="1">r_choice(Orders!$A$2:$A$51)</f>
        <v>OID033</v>
      </c>
      <c r="B75" s="7" t="str">
        <f ca="1">r_choice(Products!$A$2:$A$13)</f>
        <v>PRD008</v>
      </c>
      <c r="C75" s="27">
        <f t="shared" ca="1" si="8"/>
        <v>151</v>
      </c>
      <c r="D75" s="27">
        <f t="shared" ca="1" si="9"/>
        <v>93</v>
      </c>
      <c r="E75" s="27">
        <f t="shared" ca="1" si="10"/>
        <v>58</v>
      </c>
      <c r="F75"/>
      <c r="J75" t="str">
        <f t="shared" ca="1" si="11"/>
        <v>insert into items values ('OID022', 'PRD010', 72, 36, 36);</v>
      </c>
    </row>
    <row r="76" spans="1:10" ht="18" customHeight="1" x14ac:dyDescent="0.25">
      <c r="A76" s="7" t="str">
        <f ca="1">r_choice(Orders!$A$2:$A$51)</f>
        <v>OID005</v>
      </c>
      <c r="B76" s="7" t="str">
        <f ca="1">r_choice(Products!$A$2:$A$13)</f>
        <v>PRD005</v>
      </c>
      <c r="C76" s="27">
        <f t="shared" ca="1" si="8"/>
        <v>166</v>
      </c>
      <c r="D76" s="27">
        <f t="shared" ca="1" si="9"/>
        <v>113</v>
      </c>
      <c r="E76" s="27">
        <f t="shared" ca="1" si="10"/>
        <v>53</v>
      </c>
      <c r="F76"/>
      <c r="J76" t="str">
        <f t="shared" ca="1" si="11"/>
        <v>insert into items values ('OID033', 'PRD008', 151, 93, 58);</v>
      </c>
    </row>
    <row r="77" spans="1:10" ht="18" customHeight="1" x14ac:dyDescent="0.25">
      <c r="A77" s="7" t="str">
        <f ca="1">r_choice(Orders!$A$2:$A$51)</f>
        <v>OID007</v>
      </c>
      <c r="B77" s="7" t="str">
        <f ca="1">r_choice(Products!$A$2:$A$13)</f>
        <v>PRD003</v>
      </c>
      <c r="C77" s="27">
        <f t="shared" ca="1" si="8"/>
        <v>167</v>
      </c>
      <c r="D77" s="27">
        <f t="shared" ca="1" si="9"/>
        <v>103</v>
      </c>
      <c r="E77" s="27">
        <f t="shared" ca="1" si="10"/>
        <v>64</v>
      </c>
      <c r="F77"/>
      <c r="J77" t="str">
        <f t="shared" ca="1" si="11"/>
        <v>insert into items values ('OID005', 'PRD005', 166, 113, 53);</v>
      </c>
    </row>
    <row r="78" spans="1:10" ht="18" customHeight="1" x14ac:dyDescent="0.25">
      <c r="A78" s="7" t="str">
        <f ca="1">r_choice(Orders!$A$2:$A$51)</f>
        <v>OID005</v>
      </c>
      <c r="B78" s="7" t="str">
        <f ca="1">r_choice(Products!$A$2:$A$13)</f>
        <v>PRD007</v>
      </c>
      <c r="C78" s="27">
        <f t="shared" ca="1" si="8"/>
        <v>118</v>
      </c>
      <c r="D78" s="27">
        <f t="shared" ca="1" si="9"/>
        <v>46</v>
      </c>
      <c r="E78" s="27">
        <f t="shared" ca="1" si="10"/>
        <v>72</v>
      </c>
      <c r="F78"/>
      <c r="J78" t="str">
        <f t="shared" ca="1" si="11"/>
        <v>insert into items values ('OID007', 'PRD003', 167, 103, 64);</v>
      </c>
    </row>
    <row r="79" spans="1:10" ht="18" customHeight="1" x14ac:dyDescent="0.25">
      <c r="A79" s="7" t="str">
        <f ca="1">r_choice(Orders!$A$2:$A$51)</f>
        <v>OID017</v>
      </c>
      <c r="B79" s="7" t="str">
        <f ca="1">r_choice(Products!$A$2:$A$13)</f>
        <v>PRD006</v>
      </c>
      <c r="C79" s="27">
        <f t="shared" ca="1" si="8"/>
        <v>119</v>
      </c>
      <c r="D79" s="27">
        <f t="shared" ca="1" si="9"/>
        <v>66</v>
      </c>
      <c r="E79" s="27">
        <f t="shared" ca="1" si="10"/>
        <v>53</v>
      </c>
      <c r="F79"/>
      <c r="J79" t="str">
        <f t="shared" ca="1" si="11"/>
        <v>insert into items values ('OID005', 'PRD007', 118, 46, 72);</v>
      </c>
    </row>
    <row r="80" spans="1:10" ht="18" customHeight="1" x14ac:dyDescent="0.25">
      <c r="A80" s="7" t="str">
        <f ca="1">r_choice(Orders!$A$2:$A$51)</f>
        <v>OID031</v>
      </c>
      <c r="B80" s="7" t="str">
        <f ca="1">r_choice(Products!$A$2:$A$13)</f>
        <v>PRD009</v>
      </c>
      <c r="C80" s="27">
        <f t="shared" ca="1" si="8"/>
        <v>118</v>
      </c>
      <c r="D80" s="27">
        <f t="shared" ca="1" si="9"/>
        <v>42</v>
      </c>
      <c r="E80" s="27">
        <f t="shared" ca="1" si="10"/>
        <v>76</v>
      </c>
      <c r="F80"/>
      <c r="J80" t="str">
        <f t="shared" ca="1" si="11"/>
        <v>insert into items values ('OID017', 'PRD006', 119, 66, 53);</v>
      </c>
    </row>
    <row r="81" spans="1:10" ht="18" customHeight="1" x14ac:dyDescent="0.25">
      <c r="A81" s="7" t="str">
        <f ca="1">r_choice(Orders!$A$2:$A$51)</f>
        <v>OID021</v>
      </c>
      <c r="B81" s="7" t="str">
        <f ca="1">r_choice(Products!$A$2:$A$13)</f>
        <v>PRD004</v>
      </c>
      <c r="C81" s="27">
        <f t="shared" ca="1" si="8"/>
        <v>107</v>
      </c>
      <c r="D81" s="27">
        <f t="shared" ca="1" si="9"/>
        <v>57</v>
      </c>
      <c r="E81" s="27">
        <f t="shared" ca="1" si="10"/>
        <v>50</v>
      </c>
      <c r="F81"/>
      <c r="J81" t="str">
        <f t="shared" ca="1" si="11"/>
        <v>insert into items values ('OID031', 'PRD009', 118, 42, 76);</v>
      </c>
    </row>
    <row r="82" spans="1:10" ht="18" customHeight="1" x14ac:dyDescent="0.25">
      <c r="A82" s="7" t="str">
        <f ca="1">r_choice(Orders!$A$2:$A$51)</f>
        <v>OID037</v>
      </c>
      <c r="B82" s="7" t="str">
        <f ca="1">r_choice(Products!$A$2:$A$13)</f>
        <v>PRD011</v>
      </c>
      <c r="C82" s="27">
        <f t="shared" ca="1" si="8"/>
        <v>180</v>
      </c>
      <c r="D82" s="27">
        <f t="shared" ca="1" si="9"/>
        <v>148</v>
      </c>
      <c r="E82" s="27">
        <f t="shared" ca="1" si="10"/>
        <v>32</v>
      </c>
      <c r="F82"/>
      <c r="J82" t="str">
        <f t="shared" ca="1" si="11"/>
        <v>insert into items values ('OID021', 'PRD004', 107, 57, 50);</v>
      </c>
    </row>
    <row r="83" spans="1:10" ht="18" customHeight="1" x14ac:dyDescent="0.25">
      <c r="A83" s="7" t="str">
        <f ca="1">r_choice(Orders!$A$2:$A$51)</f>
        <v>OID014</v>
      </c>
      <c r="B83" s="7" t="str">
        <f ca="1">r_choice(Products!$A$2:$A$13)</f>
        <v>PRD006</v>
      </c>
      <c r="C83" s="27">
        <f t="shared" ca="1" si="8"/>
        <v>136</v>
      </c>
      <c r="D83" s="27">
        <f t="shared" ca="1" si="9"/>
        <v>45</v>
      </c>
      <c r="E83" s="27">
        <f t="shared" ca="1" si="10"/>
        <v>91</v>
      </c>
      <c r="F83"/>
      <c r="J83" t="str">
        <f t="shared" ca="1" si="11"/>
        <v>insert into items values ('OID037', 'PRD011', 180, 148, 32);</v>
      </c>
    </row>
    <row r="84" spans="1:10" ht="18" customHeight="1" x14ac:dyDescent="0.25">
      <c r="A84" s="7" t="str">
        <f ca="1">r_choice(Orders!$A$2:$A$51)</f>
        <v>OID033</v>
      </c>
      <c r="B84" s="7" t="str">
        <f ca="1">r_choice(Products!$A$2:$A$13)</f>
        <v>PRD012</v>
      </c>
      <c r="C84" s="27">
        <f t="shared" ca="1" si="8"/>
        <v>77</v>
      </c>
      <c r="D84" s="27">
        <f t="shared" ca="1" si="9"/>
        <v>39</v>
      </c>
      <c r="E84" s="27">
        <f t="shared" ca="1" si="10"/>
        <v>38</v>
      </c>
      <c r="F84"/>
      <c r="J84" t="str">
        <f t="shared" ca="1" si="11"/>
        <v>insert into items values ('OID014', 'PRD006', 136, 45, 91);</v>
      </c>
    </row>
    <row r="85" spans="1:10" ht="18" customHeight="1" x14ac:dyDescent="0.25">
      <c r="A85" s="7" t="str">
        <f ca="1">r_choice(Orders!$A$2:$A$51)</f>
        <v>OID021</v>
      </c>
      <c r="B85" s="7" t="str">
        <f ca="1">r_choice(Products!$A$2:$A$13)</f>
        <v>PRD012</v>
      </c>
      <c r="C85" s="27">
        <f t="shared" ca="1" si="8"/>
        <v>190</v>
      </c>
      <c r="D85" s="27">
        <f t="shared" ca="1" si="9"/>
        <v>158</v>
      </c>
      <c r="E85" s="27">
        <f t="shared" ca="1" si="10"/>
        <v>32</v>
      </c>
      <c r="F85"/>
      <c r="J85" t="str">
        <f t="shared" ca="1" si="11"/>
        <v>insert into items values ('OID033', 'PRD012', 77, 39, 38);</v>
      </c>
    </row>
    <row r="86" spans="1:10" ht="18" customHeight="1" x14ac:dyDescent="0.25">
      <c r="A86" s="7" t="str">
        <f ca="1">r_choice(Orders!$A$2:$A$51)</f>
        <v>OID009</v>
      </c>
      <c r="B86" s="7" t="str">
        <f ca="1">r_choice(Products!$A$2:$A$13)</f>
        <v>PRD003</v>
      </c>
      <c r="C86" s="27">
        <f t="shared" ca="1" si="8"/>
        <v>64</v>
      </c>
      <c r="D86" s="27">
        <f t="shared" ca="1" si="9"/>
        <v>30</v>
      </c>
      <c r="E86" s="27">
        <f t="shared" ca="1" si="10"/>
        <v>34</v>
      </c>
      <c r="F86"/>
      <c r="J86" t="str">
        <f t="shared" ca="1" si="11"/>
        <v>insert into items values ('OID021', 'PRD012', 190, 158, 32);</v>
      </c>
    </row>
    <row r="87" spans="1:10" ht="18" customHeight="1" x14ac:dyDescent="0.25">
      <c r="A87" s="7" t="str">
        <f ca="1">r_choice(Orders!$A$2:$A$51)</f>
        <v>OID013</v>
      </c>
      <c r="B87" s="7" t="str">
        <f ca="1">r_choice(Products!$A$2:$A$13)</f>
        <v>PRD005</v>
      </c>
      <c r="C87" s="27">
        <f t="shared" ca="1" si="8"/>
        <v>92</v>
      </c>
      <c r="D87" s="27">
        <f t="shared" ca="1" si="9"/>
        <v>34</v>
      </c>
      <c r="E87" s="27">
        <f t="shared" ca="1" si="10"/>
        <v>58</v>
      </c>
      <c r="F87"/>
      <c r="J87" t="str">
        <f t="shared" ca="1" si="11"/>
        <v>insert into items values ('OID009', 'PRD003', 64, 30, 34);</v>
      </c>
    </row>
    <row r="88" spans="1:10" ht="18" customHeight="1" x14ac:dyDescent="0.25">
      <c r="A88" s="7" t="str">
        <f ca="1">r_choice(Orders!$A$2:$A$51)</f>
        <v>OID042</v>
      </c>
      <c r="B88" s="7" t="str">
        <f ca="1">r_choice(Products!$A$2:$A$13)</f>
        <v>PRD007</v>
      </c>
      <c r="C88" s="27">
        <f t="shared" ca="1" si="8"/>
        <v>77</v>
      </c>
      <c r="D88" s="27">
        <f t="shared" ca="1" si="9"/>
        <v>43</v>
      </c>
      <c r="E88" s="27">
        <f t="shared" ca="1" si="10"/>
        <v>34</v>
      </c>
      <c r="F88"/>
      <c r="J88" t="str">
        <f t="shared" ca="1" si="11"/>
        <v>insert into items values ('OID013', 'PRD005', 92, 34, 58);</v>
      </c>
    </row>
    <row r="89" spans="1:10" ht="18" customHeight="1" x14ac:dyDescent="0.25">
      <c r="A89" s="7" t="str">
        <f ca="1">r_choice(Orders!$A$2:$A$51)</f>
        <v>OID043</v>
      </c>
      <c r="B89" s="7" t="str">
        <f ca="1">r_choice(Products!$A$2:$A$13)</f>
        <v>PRD008</v>
      </c>
      <c r="C89" s="27">
        <f t="shared" ca="1" si="8"/>
        <v>110</v>
      </c>
      <c r="D89" s="27">
        <f t="shared" ca="1" si="9"/>
        <v>40</v>
      </c>
      <c r="E89" s="27">
        <f t="shared" ca="1" si="10"/>
        <v>70</v>
      </c>
      <c r="F89"/>
      <c r="J89" t="str">
        <f t="shared" ca="1" si="11"/>
        <v>insert into items values ('OID042', 'PRD007', 77, 43, 34);</v>
      </c>
    </row>
    <row r="90" spans="1:10" ht="18" customHeight="1" x14ac:dyDescent="0.25">
      <c r="A90" s="7" t="str">
        <f ca="1">r_choice(Orders!$A$2:$A$51)</f>
        <v>OID042</v>
      </c>
      <c r="B90" s="7" t="str">
        <f ca="1">r_choice(Products!$A$2:$A$13)</f>
        <v>PRD002</v>
      </c>
      <c r="C90" s="27">
        <f t="shared" ca="1" si="8"/>
        <v>78</v>
      </c>
      <c r="D90" s="27">
        <f t="shared" ca="1" si="9"/>
        <v>43</v>
      </c>
      <c r="E90" s="27">
        <f t="shared" ca="1" si="10"/>
        <v>35</v>
      </c>
      <c r="F90"/>
      <c r="J90" t="str">
        <f t="shared" ca="1" si="11"/>
        <v>insert into items values ('OID043', 'PRD008', 110, 40, 70);</v>
      </c>
    </row>
    <row r="91" spans="1:10" ht="18" customHeight="1" x14ac:dyDescent="0.25">
      <c r="A91" s="7" t="str">
        <f ca="1">r_choice(Orders!$A$2:$A$51)</f>
        <v>OID017</v>
      </c>
      <c r="B91" s="7" t="str">
        <f ca="1">r_choice(Products!$A$2:$A$13)</f>
        <v>PRD011</v>
      </c>
      <c r="C91" s="27">
        <f t="shared" ca="1" si="8"/>
        <v>88</v>
      </c>
      <c r="D91" s="27">
        <f t="shared" ca="1" si="9"/>
        <v>37</v>
      </c>
      <c r="E91" s="27">
        <f t="shared" ca="1" si="10"/>
        <v>51</v>
      </c>
      <c r="F91"/>
      <c r="J91" t="str">
        <f t="shared" ca="1" si="11"/>
        <v>insert into items values ('OID042', 'PRD002', 78, 43, 35);</v>
      </c>
    </row>
    <row r="92" spans="1:10" ht="18" customHeight="1" x14ac:dyDescent="0.25">
      <c r="A92" s="7" t="str">
        <f ca="1">r_choice(Orders!$A$2:$A$51)</f>
        <v>OID007</v>
      </c>
      <c r="B92" s="7" t="str">
        <f ca="1">r_choice(Products!$A$2:$A$13)</f>
        <v>PRD008</v>
      </c>
      <c r="C92" s="27">
        <f t="shared" ca="1" si="8"/>
        <v>153</v>
      </c>
      <c r="D92" s="27">
        <f t="shared" ca="1" si="9"/>
        <v>117</v>
      </c>
      <c r="E92" s="27">
        <f t="shared" ca="1" si="10"/>
        <v>36</v>
      </c>
      <c r="F92"/>
      <c r="J92" t="str">
        <f t="shared" ca="1" si="11"/>
        <v>insert into items values ('OID017', 'PRD011', 88, 37, 51);</v>
      </c>
    </row>
    <row r="93" spans="1:10" ht="18" customHeight="1" x14ac:dyDescent="0.25">
      <c r="A93" s="7" t="str">
        <f ca="1">r_choice(Orders!$A$2:$A$51)</f>
        <v>OID042</v>
      </c>
      <c r="B93" s="7" t="str">
        <f ca="1">r_choice(Products!$A$2:$A$13)</f>
        <v>PRD001</v>
      </c>
      <c r="C93" s="27">
        <f t="shared" ca="1" si="8"/>
        <v>139</v>
      </c>
      <c r="D93" s="27">
        <f t="shared" ca="1" si="9"/>
        <v>56</v>
      </c>
      <c r="E93" s="27">
        <f t="shared" ca="1" si="10"/>
        <v>83</v>
      </c>
      <c r="F93"/>
      <c r="J93" t="str">
        <f t="shared" ca="1" si="11"/>
        <v>insert into items values ('OID007', 'PRD008', 153, 117, 36);</v>
      </c>
    </row>
    <row r="94" spans="1:10" ht="18" customHeight="1" x14ac:dyDescent="0.25">
      <c r="A94" s="7" t="str">
        <f ca="1">r_choice(Orders!$A$2:$A$51)</f>
        <v>OID021</v>
      </c>
      <c r="B94" s="7" t="str">
        <f ca="1">r_choice(Products!$A$2:$A$13)</f>
        <v>PRD001</v>
      </c>
      <c r="C94" s="27">
        <f t="shared" ca="1" si="8"/>
        <v>128</v>
      </c>
      <c r="D94" s="27">
        <f t="shared" ca="1" si="9"/>
        <v>71</v>
      </c>
      <c r="E94" s="27">
        <f t="shared" ca="1" si="10"/>
        <v>57</v>
      </c>
      <c r="F94"/>
      <c r="J94" t="str">
        <f t="shared" ca="1" si="11"/>
        <v>insert into items values ('OID042', 'PRD001', 139, 56, 83);</v>
      </c>
    </row>
    <row r="95" spans="1:10" ht="18" customHeight="1" x14ac:dyDescent="0.25">
      <c r="A95" s="7" t="str">
        <f ca="1">r_choice(Orders!$A$2:$A$51)</f>
        <v>OID019</v>
      </c>
      <c r="B95" s="7" t="str">
        <f ca="1">r_choice(Products!$A$2:$A$13)</f>
        <v>PRD002</v>
      </c>
      <c r="C95" s="27">
        <f t="shared" ca="1" si="8"/>
        <v>193</v>
      </c>
      <c r="D95" s="27">
        <f t="shared" ca="1" si="9"/>
        <v>46</v>
      </c>
      <c r="E95" s="27">
        <f t="shared" ca="1" si="10"/>
        <v>147</v>
      </c>
      <c r="F95"/>
      <c r="J95" t="str">
        <f t="shared" ca="1" si="11"/>
        <v>insert into items values ('OID021', 'PRD001', 128, 71, 57);</v>
      </c>
    </row>
    <row r="96" spans="1:10" ht="18" customHeight="1" x14ac:dyDescent="0.25">
      <c r="A96" s="7" t="str">
        <f ca="1">r_choice(Orders!$A$2:$A$51)</f>
        <v>OID010</v>
      </c>
      <c r="B96" s="7" t="str">
        <f ca="1">r_choice(Products!$A$2:$A$13)</f>
        <v>PRD007</v>
      </c>
      <c r="C96" s="27">
        <f t="shared" ca="1" si="8"/>
        <v>83</v>
      </c>
      <c r="D96" s="27">
        <f t="shared" ca="1" si="9"/>
        <v>45</v>
      </c>
      <c r="E96" s="27">
        <f t="shared" ca="1" si="10"/>
        <v>38</v>
      </c>
      <c r="F96"/>
      <c r="J96" t="str">
        <f t="shared" ca="1" si="11"/>
        <v>insert into items values ('OID019', 'PRD002', 193, 46, 147);</v>
      </c>
    </row>
    <row r="97" spans="1:10" ht="18" customHeight="1" x14ac:dyDescent="0.25">
      <c r="A97" s="7" t="str">
        <f ca="1">r_choice(Orders!$A$2:$A$51)</f>
        <v>OID026</v>
      </c>
      <c r="B97" s="7" t="str">
        <f ca="1">r_choice(Products!$A$2:$A$13)</f>
        <v>PRD008</v>
      </c>
      <c r="C97" s="27">
        <f t="shared" ca="1" si="8"/>
        <v>122</v>
      </c>
      <c r="D97" s="27">
        <f t="shared" ca="1" si="9"/>
        <v>69</v>
      </c>
      <c r="E97" s="27">
        <f t="shared" ca="1" si="10"/>
        <v>53</v>
      </c>
      <c r="F97"/>
      <c r="J97" t="str">
        <f t="shared" ca="1" si="11"/>
        <v>insert into items values ('OID010', 'PRD007', 83, 45, 38);</v>
      </c>
    </row>
    <row r="98" spans="1:10" ht="18" customHeight="1" x14ac:dyDescent="0.25">
      <c r="A98" s="7" t="str">
        <f ca="1">r_choice(Orders!$A$2:$A$51)</f>
        <v>OID047</v>
      </c>
      <c r="B98" s="7" t="str">
        <f ca="1">r_choice(Products!$A$2:$A$13)</f>
        <v>PRD005</v>
      </c>
      <c r="C98" s="27">
        <f t="shared" ref="C98:C129" ca="1" si="12">r_integer(50,200)</f>
        <v>91</v>
      </c>
      <c r="D98" s="27">
        <f t="shared" ref="D98:D129" ca="1" si="13">r_integer(30,C98-30)</f>
        <v>56</v>
      </c>
      <c r="E98" s="27">
        <f t="shared" ref="E98:E129" ca="1" si="14">C98-D98</f>
        <v>35</v>
      </c>
      <c r="F98"/>
      <c r="J98" t="str">
        <f t="shared" ca="1" si="11"/>
        <v>insert into items values ('OID026', 'PRD008', 122, 69, 53);</v>
      </c>
    </row>
    <row r="99" spans="1:10" ht="18" customHeight="1" x14ac:dyDescent="0.25">
      <c r="A99" s="7" t="str">
        <f ca="1">r_choice(Orders!$A$2:$A$51)</f>
        <v>OID034</v>
      </c>
      <c r="B99" s="7" t="str">
        <f ca="1">r_choice(Products!$A$2:$A$13)</f>
        <v>PRD006</v>
      </c>
      <c r="C99" s="27">
        <f t="shared" ca="1" si="12"/>
        <v>193</v>
      </c>
      <c r="D99" s="27">
        <f t="shared" ca="1" si="13"/>
        <v>47</v>
      </c>
      <c r="E99" s="27">
        <f t="shared" ca="1" si="14"/>
        <v>146</v>
      </c>
      <c r="F99"/>
      <c r="J99" t="str">
        <f t="shared" ref="J99:J130" ca="1" si="15">insertinto(A98:E98,$G$2:$H$6, "items")</f>
        <v>insert into items values ('OID047', 'PRD005', 91, 56, 35);</v>
      </c>
    </row>
    <row r="100" spans="1:10" ht="18" customHeight="1" x14ac:dyDescent="0.25">
      <c r="A100" s="7" t="str">
        <f ca="1">r_choice(Orders!$A$2:$A$51)</f>
        <v>OID009</v>
      </c>
      <c r="B100" s="7" t="str">
        <f ca="1">r_choice(Products!$A$2:$A$13)</f>
        <v>PRD006</v>
      </c>
      <c r="C100" s="27">
        <f t="shared" ca="1" si="12"/>
        <v>145</v>
      </c>
      <c r="D100" s="27">
        <f t="shared" ca="1" si="13"/>
        <v>108</v>
      </c>
      <c r="E100" s="27">
        <f t="shared" ca="1" si="14"/>
        <v>37</v>
      </c>
      <c r="F100"/>
      <c r="J100" t="str">
        <f t="shared" ca="1" si="15"/>
        <v>insert into items values ('OID034', 'PRD006', 193, 47, 146);</v>
      </c>
    </row>
    <row r="101" spans="1:10" ht="18" customHeight="1" x14ac:dyDescent="0.25">
      <c r="A101" s="7" t="str">
        <f ca="1">r_choice(Orders!$A$2:$A$51)</f>
        <v>OID022</v>
      </c>
      <c r="B101" s="7" t="str">
        <f ca="1">r_choice(Products!$A$2:$A$13)</f>
        <v>PRD003</v>
      </c>
      <c r="C101" s="27">
        <f t="shared" ca="1" si="12"/>
        <v>132</v>
      </c>
      <c r="D101" s="27">
        <f t="shared" ca="1" si="13"/>
        <v>42</v>
      </c>
      <c r="E101" s="27">
        <f t="shared" ca="1" si="14"/>
        <v>90</v>
      </c>
      <c r="F101"/>
      <c r="J101" t="str">
        <f t="shared" ca="1" si="15"/>
        <v>insert into items values ('OID009', 'PRD006', 145, 108, 37);</v>
      </c>
    </row>
    <row r="102" spans="1:10" ht="18" customHeight="1" x14ac:dyDescent="0.25">
      <c r="A102" s="7" t="str">
        <f ca="1">r_choice(Orders!$A$2:$A$51)</f>
        <v>OID029</v>
      </c>
      <c r="B102" s="7" t="str">
        <f ca="1">r_choice(Products!$A$2:$A$13)</f>
        <v>PRD012</v>
      </c>
      <c r="C102" s="27">
        <f t="shared" ca="1" si="12"/>
        <v>102</v>
      </c>
      <c r="D102" s="27">
        <f t="shared" ca="1" si="13"/>
        <v>33</v>
      </c>
      <c r="E102" s="27">
        <f t="shared" ca="1" si="14"/>
        <v>69</v>
      </c>
      <c r="F102"/>
      <c r="J102" t="str">
        <f t="shared" ca="1" si="15"/>
        <v>insert into items values ('OID022', 'PRD003', 132, 42, 90);</v>
      </c>
    </row>
    <row r="103" spans="1:10" ht="18" customHeight="1" x14ac:dyDescent="0.25">
      <c r="A103" s="7" t="str">
        <f ca="1">r_choice(Orders!$A$2:$A$51)</f>
        <v>OID038</v>
      </c>
      <c r="B103" s="7" t="str">
        <f ca="1">r_choice(Products!$A$2:$A$13)</f>
        <v>PRD007</v>
      </c>
      <c r="C103" s="27">
        <f t="shared" ca="1" si="12"/>
        <v>55</v>
      </c>
      <c r="D103" s="27">
        <f t="shared" ca="1" si="13"/>
        <v>27</v>
      </c>
      <c r="E103" s="27">
        <f t="shared" ca="1" si="14"/>
        <v>28</v>
      </c>
      <c r="F103"/>
      <c r="J103" t="str">
        <f t="shared" ca="1" si="15"/>
        <v>insert into items values ('OID029', 'PRD012', 102, 33, 69);</v>
      </c>
    </row>
    <row r="104" spans="1:10" ht="18" customHeight="1" x14ac:dyDescent="0.25">
      <c r="A104" s="7" t="str">
        <f ca="1">r_choice(Orders!$A$2:$A$51)</f>
        <v>OID018</v>
      </c>
      <c r="B104" s="7" t="str">
        <f ca="1">r_choice(Products!$A$2:$A$13)</f>
        <v>PRD006</v>
      </c>
      <c r="C104" s="27">
        <f t="shared" ca="1" si="12"/>
        <v>147</v>
      </c>
      <c r="D104" s="27">
        <f t="shared" ca="1" si="13"/>
        <v>105</v>
      </c>
      <c r="E104" s="27">
        <f t="shared" ca="1" si="14"/>
        <v>42</v>
      </c>
      <c r="F104"/>
      <c r="J104" t="str">
        <f t="shared" ca="1" si="15"/>
        <v>insert into items values ('OID038', 'PRD007', 55, 27, 28);</v>
      </c>
    </row>
    <row r="105" spans="1:10" ht="18" customHeight="1" x14ac:dyDescent="0.25">
      <c r="A105" s="7" t="str">
        <f ca="1">r_choice(Orders!$A$2:$A$51)</f>
        <v>OID026</v>
      </c>
      <c r="B105" s="7" t="str">
        <f ca="1">r_choice(Products!$A$2:$A$13)</f>
        <v>PRD008</v>
      </c>
      <c r="C105" s="27">
        <f t="shared" ca="1" si="12"/>
        <v>77</v>
      </c>
      <c r="D105" s="27">
        <f t="shared" ca="1" si="13"/>
        <v>41</v>
      </c>
      <c r="E105" s="27">
        <f t="shared" ca="1" si="14"/>
        <v>36</v>
      </c>
      <c r="F105"/>
      <c r="J105" t="str">
        <f t="shared" ca="1" si="15"/>
        <v>insert into items values ('OID018', 'PRD006', 147, 105, 42);</v>
      </c>
    </row>
    <row r="106" spans="1:10" ht="18" customHeight="1" x14ac:dyDescent="0.25">
      <c r="A106" s="7" t="str">
        <f ca="1">r_choice(Orders!$A$2:$A$51)</f>
        <v>OID044</v>
      </c>
      <c r="B106" s="7" t="str">
        <f ca="1">r_choice(Products!$A$2:$A$13)</f>
        <v>PRD008</v>
      </c>
      <c r="C106" s="27">
        <f t="shared" ca="1" si="12"/>
        <v>130</v>
      </c>
      <c r="D106" s="27">
        <f t="shared" ca="1" si="13"/>
        <v>58</v>
      </c>
      <c r="E106" s="27">
        <f t="shared" ca="1" si="14"/>
        <v>72</v>
      </c>
      <c r="F106"/>
      <c r="J106" t="str">
        <f t="shared" ca="1" si="15"/>
        <v>insert into items values ('OID026', 'PRD008', 77, 41, 36);</v>
      </c>
    </row>
    <row r="107" spans="1:10" ht="18" customHeight="1" x14ac:dyDescent="0.25">
      <c r="A107" s="7" t="str">
        <f ca="1">r_choice(Orders!$A$2:$A$51)</f>
        <v>OID025</v>
      </c>
      <c r="B107" s="7" t="str">
        <f ca="1">r_choice(Products!$A$2:$A$13)</f>
        <v>PRD008</v>
      </c>
      <c r="C107" s="27">
        <f t="shared" ca="1" si="12"/>
        <v>118</v>
      </c>
      <c r="D107" s="27">
        <f t="shared" ca="1" si="13"/>
        <v>72</v>
      </c>
      <c r="E107" s="27">
        <f t="shared" ca="1" si="14"/>
        <v>46</v>
      </c>
      <c r="F107"/>
      <c r="J107" t="str">
        <f t="shared" ca="1" si="15"/>
        <v>insert into items values ('OID044', 'PRD008', 130, 58, 72);</v>
      </c>
    </row>
    <row r="108" spans="1:10" ht="18" customHeight="1" x14ac:dyDescent="0.25">
      <c r="A108" s="7" t="str">
        <f ca="1">r_choice(Orders!$A$2:$A$51)</f>
        <v>OID014</v>
      </c>
      <c r="B108" s="7" t="str">
        <f ca="1">r_choice(Products!$A$2:$A$13)</f>
        <v>PRD002</v>
      </c>
      <c r="C108" s="27">
        <f t="shared" ca="1" si="12"/>
        <v>113</v>
      </c>
      <c r="D108" s="27">
        <f t="shared" ca="1" si="13"/>
        <v>69</v>
      </c>
      <c r="E108" s="27">
        <f t="shared" ca="1" si="14"/>
        <v>44</v>
      </c>
      <c r="F108"/>
      <c r="J108" t="str">
        <f t="shared" ca="1" si="15"/>
        <v>insert into items values ('OID025', 'PRD008', 118, 72, 46);</v>
      </c>
    </row>
    <row r="109" spans="1:10" ht="18" customHeight="1" x14ac:dyDescent="0.25">
      <c r="A109" s="7" t="str">
        <f ca="1">r_choice(Orders!$A$2:$A$51)</f>
        <v>OID022</v>
      </c>
      <c r="B109" s="7" t="str">
        <f ca="1">r_choice(Products!$A$2:$A$13)</f>
        <v>PRD007</v>
      </c>
      <c r="C109" s="27">
        <f t="shared" ca="1" si="12"/>
        <v>53</v>
      </c>
      <c r="D109" s="27">
        <f t="shared" ca="1" si="13"/>
        <v>24</v>
      </c>
      <c r="E109" s="27">
        <f t="shared" ca="1" si="14"/>
        <v>29</v>
      </c>
      <c r="F109"/>
      <c r="J109" t="str">
        <f t="shared" ca="1" si="15"/>
        <v>insert into items values ('OID014', 'PRD002', 113, 69, 44);</v>
      </c>
    </row>
    <row r="110" spans="1:10" ht="18" customHeight="1" x14ac:dyDescent="0.25">
      <c r="A110" s="7" t="str">
        <f ca="1">r_choice(Orders!$A$2:$A$51)</f>
        <v>OID025</v>
      </c>
      <c r="B110" s="7" t="str">
        <f ca="1">r_choice(Products!$A$2:$A$13)</f>
        <v>PRD002</v>
      </c>
      <c r="C110" s="27">
        <f t="shared" ca="1" si="12"/>
        <v>197</v>
      </c>
      <c r="D110" s="27">
        <f t="shared" ca="1" si="13"/>
        <v>155</v>
      </c>
      <c r="E110" s="27">
        <f t="shared" ca="1" si="14"/>
        <v>42</v>
      </c>
      <c r="F110"/>
      <c r="J110" t="str">
        <f t="shared" ca="1" si="15"/>
        <v>insert into items values ('OID022', 'PRD007', 53, 24, 29);</v>
      </c>
    </row>
    <row r="111" spans="1:10" ht="18" customHeight="1" x14ac:dyDescent="0.25">
      <c r="A111" s="7" t="str">
        <f ca="1">r_choice(Orders!$A$2:$A$51)</f>
        <v>OID019</v>
      </c>
      <c r="B111" s="7" t="str">
        <f ca="1">r_choice(Products!$A$2:$A$13)</f>
        <v>PRD001</v>
      </c>
      <c r="C111" s="27">
        <f t="shared" ca="1" si="12"/>
        <v>84</v>
      </c>
      <c r="D111" s="27">
        <f t="shared" ca="1" si="13"/>
        <v>45</v>
      </c>
      <c r="E111" s="27">
        <f t="shared" ca="1" si="14"/>
        <v>39</v>
      </c>
      <c r="F111"/>
      <c r="J111" t="str">
        <f t="shared" ca="1" si="15"/>
        <v>insert into items values ('OID025', 'PRD002', 197, 155, 42);</v>
      </c>
    </row>
    <row r="112" spans="1:10" ht="18" customHeight="1" x14ac:dyDescent="0.25">
      <c r="A112" s="7" t="str">
        <f ca="1">r_choice(Orders!$A$2:$A$51)</f>
        <v>OID024</v>
      </c>
      <c r="B112" s="7" t="str">
        <f ca="1">r_choice(Products!$A$2:$A$13)</f>
        <v>PRD002</v>
      </c>
      <c r="C112" s="27">
        <f t="shared" ca="1" si="12"/>
        <v>143</v>
      </c>
      <c r="D112" s="27">
        <f t="shared" ca="1" si="13"/>
        <v>77</v>
      </c>
      <c r="E112" s="27">
        <f t="shared" ca="1" si="14"/>
        <v>66</v>
      </c>
      <c r="F112"/>
      <c r="J112" t="str">
        <f t="shared" ca="1" si="15"/>
        <v>insert into items values ('OID019', 'PRD001', 84, 45, 39);</v>
      </c>
    </row>
    <row r="113" spans="1:10" ht="18" customHeight="1" x14ac:dyDescent="0.25">
      <c r="A113" s="7" t="str">
        <f ca="1">r_choice(Orders!$A$2:$A$51)</f>
        <v>OID036</v>
      </c>
      <c r="B113" s="7" t="str">
        <f ca="1">r_choice(Products!$A$2:$A$13)</f>
        <v>PRD007</v>
      </c>
      <c r="C113" s="27">
        <f t="shared" ca="1" si="12"/>
        <v>162</v>
      </c>
      <c r="D113" s="27">
        <f t="shared" ca="1" si="13"/>
        <v>71</v>
      </c>
      <c r="E113" s="27">
        <f t="shared" ca="1" si="14"/>
        <v>91</v>
      </c>
      <c r="F113"/>
      <c r="J113" t="str">
        <f t="shared" ca="1" si="15"/>
        <v>insert into items values ('OID024', 'PRD002', 143, 77, 66);</v>
      </c>
    </row>
    <row r="114" spans="1:10" ht="18" customHeight="1" x14ac:dyDescent="0.25">
      <c r="A114" s="7" t="str">
        <f ca="1">r_choice(Orders!$A$2:$A$51)</f>
        <v>OID024</v>
      </c>
      <c r="B114" s="7" t="str">
        <f ca="1">r_choice(Products!$A$2:$A$13)</f>
        <v>PRD004</v>
      </c>
      <c r="C114" s="27">
        <f t="shared" ca="1" si="12"/>
        <v>83</v>
      </c>
      <c r="D114" s="27">
        <f t="shared" ca="1" si="13"/>
        <v>44</v>
      </c>
      <c r="E114" s="27">
        <f t="shared" ca="1" si="14"/>
        <v>39</v>
      </c>
      <c r="F114"/>
      <c r="J114" t="str">
        <f t="shared" ca="1" si="15"/>
        <v>insert into items values ('OID036', 'PRD007', 162, 71, 91);</v>
      </c>
    </row>
    <row r="115" spans="1:10" ht="18" customHeight="1" x14ac:dyDescent="0.25">
      <c r="A115" s="7" t="str">
        <f ca="1">r_choice(Orders!$A$2:$A$51)</f>
        <v>OID018</v>
      </c>
      <c r="B115" s="7" t="str">
        <f ca="1">r_choice(Products!$A$2:$A$13)</f>
        <v>PRD002</v>
      </c>
      <c r="C115" s="27">
        <f t="shared" ca="1" si="12"/>
        <v>95</v>
      </c>
      <c r="D115" s="27">
        <f t="shared" ca="1" si="13"/>
        <v>32</v>
      </c>
      <c r="E115" s="27">
        <f t="shared" ca="1" si="14"/>
        <v>63</v>
      </c>
      <c r="F115"/>
      <c r="J115" t="str">
        <f t="shared" ca="1" si="15"/>
        <v>insert into items values ('OID024', 'PRD004', 83, 44, 39);</v>
      </c>
    </row>
    <row r="116" spans="1:10" ht="18" customHeight="1" x14ac:dyDescent="0.25">
      <c r="A116" s="7" t="str">
        <f ca="1">r_choice(Orders!$A$2:$A$51)</f>
        <v>OID004</v>
      </c>
      <c r="B116" s="7" t="str">
        <f ca="1">r_choice(Products!$A$2:$A$13)</f>
        <v>PRD012</v>
      </c>
      <c r="C116" s="27">
        <f t="shared" ca="1" si="12"/>
        <v>158</v>
      </c>
      <c r="D116" s="27">
        <f t="shared" ca="1" si="13"/>
        <v>124</v>
      </c>
      <c r="E116" s="27">
        <f t="shared" ca="1" si="14"/>
        <v>34</v>
      </c>
      <c r="F116"/>
      <c r="J116" t="str">
        <f t="shared" ca="1" si="15"/>
        <v>insert into items values ('OID018', 'PRD002', 95, 32, 63);</v>
      </c>
    </row>
    <row r="117" spans="1:10" ht="18" customHeight="1" x14ac:dyDescent="0.25">
      <c r="A117" s="7" t="str">
        <f ca="1">r_choice(Orders!$A$2:$A$51)</f>
        <v>OID001</v>
      </c>
      <c r="B117" s="7" t="str">
        <f ca="1">r_choice(Products!$A$2:$A$13)</f>
        <v>PRD012</v>
      </c>
      <c r="C117" s="27">
        <f t="shared" ca="1" si="12"/>
        <v>139</v>
      </c>
      <c r="D117" s="27">
        <f t="shared" ca="1" si="13"/>
        <v>46</v>
      </c>
      <c r="E117" s="27">
        <f t="shared" ca="1" si="14"/>
        <v>93</v>
      </c>
      <c r="F117"/>
      <c r="J117" t="str">
        <f t="shared" ca="1" si="15"/>
        <v>insert into items values ('OID004', 'PRD012', 158, 124, 34);</v>
      </c>
    </row>
    <row r="118" spans="1:10" ht="18" customHeight="1" x14ac:dyDescent="0.25">
      <c r="A118" s="7" t="str">
        <f ca="1">r_choice(Orders!$A$2:$A$51)</f>
        <v>OID016</v>
      </c>
      <c r="B118" s="7" t="str">
        <f ca="1">r_choice(Products!$A$2:$A$13)</f>
        <v>PRD008</v>
      </c>
      <c r="C118" s="27">
        <f t="shared" ca="1" si="12"/>
        <v>186</v>
      </c>
      <c r="D118" s="27">
        <f t="shared" ca="1" si="13"/>
        <v>30</v>
      </c>
      <c r="E118" s="27">
        <f t="shared" ca="1" si="14"/>
        <v>156</v>
      </c>
      <c r="F118"/>
      <c r="J118" t="str">
        <f t="shared" ca="1" si="15"/>
        <v>insert into items values ('OID001', 'PRD012', 139, 46, 93);</v>
      </c>
    </row>
    <row r="119" spans="1:10" ht="18" customHeight="1" x14ac:dyDescent="0.25">
      <c r="A119" s="7" t="str">
        <f ca="1">r_choice(Orders!$A$2:$A$51)</f>
        <v>OID036</v>
      </c>
      <c r="B119" s="7" t="str">
        <f ca="1">r_choice(Products!$A$2:$A$13)</f>
        <v>PRD012</v>
      </c>
      <c r="C119" s="27">
        <f t="shared" ca="1" si="12"/>
        <v>178</v>
      </c>
      <c r="D119" s="27">
        <f t="shared" ca="1" si="13"/>
        <v>53</v>
      </c>
      <c r="E119" s="27">
        <f t="shared" ca="1" si="14"/>
        <v>125</v>
      </c>
      <c r="F119"/>
      <c r="J119" t="str">
        <f t="shared" ca="1" si="15"/>
        <v>insert into items values ('OID016', 'PRD008', 186, 30, 156);</v>
      </c>
    </row>
    <row r="120" spans="1:10" ht="18" customHeight="1" x14ac:dyDescent="0.25">
      <c r="A120" s="7" t="str">
        <f ca="1">r_choice(Orders!$A$2:$A$51)</f>
        <v>OID040</v>
      </c>
      <c r="B120" s="7" t="str">
        <f ca="1">r_choice(Products!$A$2:$A$13)</f>
        <v>PRD001</v>
      </c>
      <c r="C120" s="27">
        <f t="shared" ca="1" si="12"/>
        <v>70</v>
      </c>
      <c r="D120" s="27">
        <f t="shared" ca="1" si="13"/>
        <v>32</v>
      </c>
      <c r="E120" s="27">
        <f t="shared" ca="1" si="14"/>
        <v>38</v>
      </c>
      <c r="F120"/>
      <c r="J120" t="str">
        <f t="shared" ca="1" si="15"/>
        <v>insert into items values ('OID036', 'PRD012', 178, 53, 125);</v>
      </c>
    </row>
    <row r="121" spans="1:10" ht="18" customHeight="1" x14ac:dyDescent="0.25">
      <c r="A121" s="7" t="str">
        <f ca="1">r_choice(Orders!$A$2:$A$51)</f>
        <v>OID042</v>
      </c>
      <c r="B121" s="7" t="str">
        <f ca="1">r_choice(Products!$A$2:$A$13)</f>
        <v>PRD012</v>
      </c>
      <c r="C121" s="27">
        <f t="shared" ca="1" si="12"/>
        <v>147</v>
      </c>
      <c r="D121" s="27">
        <f t="shared" ca="1" si="13"/>
        <v>59</v>
      </c>
      <c r="E121" s="27">
        <f t="shared" ca="1" si="14"/>
        <v>88</v>
      </c>
      <c r="F121"/>
      <c r="J121" t="str">
        <f t="shared" ca="1" si="15"/>
        <v>insert into items values ('OID040', 'PRD001', 70, 32, 38);</v>
      </c>
    </row>
    <row r="122" spans="1:10" ht="18" customHeight="1" x14ac:dyDescent="0.25">
      <c r="A122" s="7" t="str">
        <f ca="1">r_choice(Orders!$A$2:$A$51)</f>
        <v>OID048</v>
      </c>
      <c r="B122" s="7" t="str">
        <f ca="1">r_choice(Products!$A$2:$A$13)</f>
        <v>PRD004</v>
      </c>
      <c r="C122" s="27">
        <f t="shared" ca="1" si="12"/>
        <v>99</v>
      </c>
      <c r="D122" s="27">
        <f t="shared" ca="1" si="13"/>
        <v>60</v>
      </c>
      <c r="E122" s="27">
        <f t="shared" ca="1" si="14"/>
        <v>39</v>
      </c>
      <c r="F122"/>
      <c r="J122" t="str">
        <f t="shared" ca="1" si="15"/>
        <v>insert into items values ('OID042', 'PRD012', 147, 59, 88);</v>
      </c>
    </row>
    <row r="123" spans="1:10" ht="18" customHeight="1" x14ac:dyDescent="0.25">
      <c r="A123" s="7" t="str">
        <f ca="1">r_choice(Orders!$A$2:$A$51)</f>
        <v>OID049</v>
      </c>
      <c r="B123" s="7" t="str">
        <f ca="1">r_choice(Products!$A$2:$A$13)</f>
        <v>PRD009</v>
      </c>
      <c r="C123" s="27">
        <f t="shared" ca="1" si="12"/>
        <v>101</v>
      </c>
      <c r="D123" s="27">
        <f t="shared" ca="1" si="13"/>
        <v>65</v>
      </c>
      <c r="E123" s="27">
        <f t="shared" ca="1" si="14"/>
        <v>36</v>
      </c>
      <c r="F123"/>
      <c r="J123" t="str">
        <f t="shared" ca="1" si="15"/>
        <v>insert into items values ('OID048', 'PRD004', 99, 60, 39);</v>
      </c>
    </row>
    <row r="124" spans="1:10" ht="18" customHeight="1" x14ac:dyDescent="0.25">
      <c r="A124" s="7" t="str">
        <f ca="1">r_choice(Orders!$A$2:$A$51)</f>
        <v>OID005</v>
      </c>
      <c r="B124" s="7" t="str">
        <f ca="1">r_choice(Products!$A$2:$A$13)</f>
        <v>PRD006</v>
      </c>
      <c r="C124" s="27">
        <f t="shared" ca="1" si="12"/>
        <v>144</v>
      </c>
      <c r="D124" s="27">
        <f t="shared" ca="1" si="13"/>
        <v>77</v>
      </c>
      <c r="E124" s="27">
        <f t="shared" ca="1" si="14"/>
        <v>67</v>
      </c>
      <c r="F124"/>
      <c r="J124" t="str">
        <f t="shared" ca="1" si="15"/>
        <v>insert into items values ('OID049', 'PRD009', 101, 65, 36);</v>
      </c>
    </row>
    <row r="125" spans="1:10" ht="18" customHeight="1" x14ac:dyDescent="0.25">
      <c r="A125" s="7" t="str">
        <f ca="1">r_choice(Orders!$A$2:$A$51)</f>
        <v>OID031</v>
      </c>
      <c r="B125" s="7" t="str">
        <f ca="1">r_choice(Products!$A$2:$A$13)</f>
        <v>PRD004</v>
      </c>
      <c r="C125" s="27">
        <f t="shared" ca="1" si="12"/>
        <v>120</v>
      </c>
      <c r="D125" s="27">
        <f t="shared" ca="1" si="13"/>
        <v>76</v>
      </c>
      <c r="E125" s="27">
        <f t="shared" ca="1" si="14"/>
        <v>44</v>
      </c>
      <c r="F125"/>
      <c r="J125" t="str">
        <f t="shared" ca="1" si="15"/>
        <v>insert into items values ('OID005', 'PRD006', 144, 77, 67);</v>
      </c>
    </row>
    <row r="126" spans="1:10" ht="18" customHeight="1" x14ac:dyDescent="0.25">
      <c r="A126" s="7" t="str">
        <f ca="1">r_choice(Orders!$A$2:$A$51)</f>
        <v>OID039</v>
      </c>
      <c r="B126" s="7" t="str">
        <f ca="1">r_choice(Products!$A$2:$A$13)</f>
        <v>PRD010</v>
      </c>
      <c r="C126" s="27">
        <f t="shared" ca="1" si="12"/>
        <v>88</v>
      </c>
      <c r="D126" s="27">
        <f t="shared" ca="1" si="13"/>
        <v>51</v>
      </c>
      <c r="E126" s="27">
        <f t="shared" ca="1" si="14"/>
        <v>37</v>
      </c>
      <c r="F126"/>
      <c r="J126" t="str">
        <f t="shared" ca="1" si="15"/>
        <v>insert into items values ('OID031', 'PRD004', 120, 76, 44);</v>
      </c>
    </row>
    <row r="127" spans="1:10" ht="18" customHeight="1" x14ac:dyDescent="0.25">
      <c r="A127" s="7" t="str">
        <f ca="1">r_choice(Orders!$A$2:$A$51)</f>
        <v>OID014</v>
      </c>
      <c r="B127" s="7" t="str">
        <f ca="1">r_choice(Products!$A$2:$A$13)</f>
        <v>PRD010</v>
      </c>
      <c r="C127" s="27">
        <f t="shared" ca="1" si="12"/>
        <v>76</v>
      </c>
      <c r="D127" s="27">
        <f t="shared" ca="1" si="13"/>
        <v>37</v>
      </c>
      <c r="E127" s="27">
        <f t="shared" ca="1" si="14"/>
        <v>39</v>
      </c>
      <c r="F127"/>
      <c r="J127" t="str">
        <f t="shared" ca="1" si="15"/>
        <v>insert into items values ('OID039', 'PRD010', 88, 51, 37);</v>
      </c>
    </row>
    <row r="128" spans="1:10" ht="18" customHeight="1" x14ac:dyDescent="0.25">
      <c r="A128" s="7" t="str">
        <f ca="1">r_choice(Orders!$A$2:$A$51)</f>
        <v>OID009</v>
      </c>
      <c r="B128" s="7" t="str">
        <f ca="1">r_choice(Products!$A$2:$A$13)</f>
        <v>PRD007</v>
      </c>
      <c r="C128" s="27">
        <f t="shared" ca="1" si="12"/>
        <v>199</v>
      </c>
      <c r="D128" s="27">
        <f t="shared" ca="1" si="13"/>
        <v>123</v>
      </c>
      <c r="E128" s="27">
        <f t="shared" ca="1" si="14"/>
        <v>76</v>
      </c>
      <c r="F128"/>
      <c r="J128" t="str">
        <f t="shared" ca="1" si="15"/>
        <v>insert into items values ('OID014', 'PRD010', 76, 37, 39);</v>
      </c>
    </row>
    <row r="129" spans="1:10" ht="18" customHeight="1" x14ac:dyDescent="0.25">
      <c r="A129" s="7" t="str">
        <f ca="1">r_choice(Orders!$A$2:$A$51)</f>
        <v>OID048</v>
      </c>
      <c r="B129" s="7" t="str">
        <f ca="1">r_choice(Products!$A$2:$A$13)</f>
        <v>PRD004</v>
      </c>
      <c r="C129" s="27">
        <f t="shared" ca="1" si="12"/>
        <v>128</v>
      </c>
      <c r="D129" s="27">
        <f t="shared" ca="1" si="13"/>
        <v>80</v>
      </c>
      <c r="E129" s="27">
        <f t="shared" ca="1" si="14"/>
        <v>48</v>
      </c>
      <c r="F129"/>
      <c r="J129" t="str">
        <f t="shared" ca="1" si="15"/>
        <v>insert into items values ('OID009', 'PRD007', 199, 123, 76);</v>
      </c>
    </row>
    <row r="130" spans="1:10" ht="18" customHeight="1" x14ac:dyDescent="0.25">
      <c r="A130" s="7" t="str">
        <f ca="1">r_choice(Orders!$A$2:$A$51)</f>
        <v>OID001</v>
      </c>
      <c r="B130" s="7" t="str">
        <f ca="1">r_choice(Products!$A$2:$A$13)</f>
        <v>PRD012</v>
      </c>
      <c r="C130" s="27">
        <f t="shared" ref="C130:C151" ca="1" si="16">r_integer(50,200)</f>
        <v>191</v>
      </c>
      <c r="D130" s="27">
        <f t="shared" ref="D130:D151" ca="1" si="17">r_integer(30,C130-30)</f>
        <v>154</v>
      </c>
      <c r="E130" s="27">
        <f t="shared" ref="E130:E151" ca="1" si="18">C130-D130</f>
        <v>37</v>
      </c>
      <c r="F130"/>
      <c r="J130" t="str">
        <f t="shared" ca="1" si="15"/>
        <v>insert into items values ('OID048', 'PRD004', 128, 80, 48);</v>
      </c>
    </row>
    <row r="131" spans="1:10" ht="18" customHeight="1" x14ac:dyDescent="0.25">
      <c r="A131" s="7" t="str">
        <f ca="1">r_choice(Orders!$A$2:$A$51)</f>
        <v>OID012</v>
      </c>
      <c r="B131" s="7" t="str">
        <f ca="1">r_choice(Products!$A$2:$A$13)</f>
        <v>PRD007</v>
      </c>
      <c r="C131" s="27">
        <f t="shared" ca="1" si="16"/>
        <v>100</v>
      </c>
      <c r="D131" s="27">
        <f t="shared" ca="1" si="17"/>
        <v>37</v>
      </c>
      <c r="E131" s="27">
        <f t="shared" ca="1" si="18"/>
        <v>63</v>
      </c>
      <c r="F131"/>
      <c r="J131" t="str">
        <f t="shared" ref="J131:J152" ca="1" si="19">insertinto(A130:E130,$G$2:$H$6, "items")</f>
        <v>insert into items values ('OID001', 'PRD012', 191, 154, 37);</v>
      </c>
    </row>
    <row r="132" spans="1:10" ht="18" customHeight="1" x14ac:dyDescent="0.25">
      <c r="A132" s="7" t="str">
        <f ca="1">r_choice(Orders!$A$2:$A$51)</f>
        <v>OID048</v>
      </c>
      <c r="B132" s="7" t="str">
        <f ca="1">r_choice(Products!$A$2:$A$13)</f>
        <v>PRD004</v>
      </c>
      <c r="C132" s="27">
        <f t="shared" ca="1" si="16"/>
        <v>55</v>
      </c>
      <c r="D132" s="27">
        <f t="shared" ca="1" si="17"/>
        <v>28</v>
      </c>
      <c r="E132" s="27">
        <f t="shared" ca="1" si="18"/>
        <v>27</v>
      </c>
      <c r="F132"/>
      <c r="J132" t="str">
        <f t="shared" ca="1" si="19"/>
        <v>insert into items values ('OID012', 'PRD007', 100, 37, 63);</v>
      </c>
    </row>
    <row r="133" spans="1:10" ht="18" customHeight="1" x14ac:dyDescent="0.25">
      <c r="A133" s="7" t="str">
        <f ca="1">r_choice(Orders!$A$2:$A$51)</f>
        <v>OID039</v>
      </c>
      <c r="B133" s="7" t="str">
        <f ca="1">r_choice(Products!$A$2:$A$13)</f>
        <v>PRD012</v>
      </c>
      <c r="C133" s="27">
        <f t="shared" ca="1" si="16"/>
        <v>142</v>
      </c>
      <c r="D133" s="27">
        <f t="shared" ca="1" si="17"/>
        <v>74</v>
      </c>
      <c r="E133" s="27">
        <f t="shared" ca="1" si="18"/>
        <v>68</v>
      </c>
      <c r="F133"/>
      <c r="J133" t="str">
        <f t="shared" ca="1" si="19"/>
        <v>insert into items values ('OID048', 'PRD004', 55, 28, 27);</v>
      </c>
    </row>
    <row r="134" spans="1:10" ht="18" customHeight="1" x14ac:dyDescent="0.25">
      <c r="A134" s="7" t="str">
        <f ca="1">r_choice(Orders!$A$2:$A$51)</f>
        <v>OID024</v>
      </c>
      <c r="B134" s="7" t="str">
        <f ca="1">r_choice(Products!$A$2:$A$13)</f>
        <v>PRD005</v>
      </c>
      <c r="C134" s="27">
        <f t="shared" ca="1" si="16"/>
        <v>78</v>
      </c>
      <c r="D134" s="27">
        <f t="shared" ca="1" si="17"/>
        <v>48</v>
      </c>
      <c r="E134" s="27">
        <f t="shared" ca="1" si="18"/>
        <v>30</v>
      </c>
      <c r="F134"/>
      <c r="J134" t="str">
        <f t="shared" ca="1" si="19"/>
        <v>insert into items values ('OID039', 'PRD012', 142, 74, 68);</v>
      </c>
    </row>
    <row r="135" spans="1:10" ht="18" customHeight="1" x14ac:dyDescent="0.25">
      <c r="A135" s="7" t="str">
        <f ca="1">r_choice(Orders!$A$2:$A$51)</f>
        <v>OID007</v>
      </c>
      <c r="B135" s="7" t="str">
        <f ca="1">r_choice(Products!$A$2:$A$13)</f>
        <v>PRD002</v>
      </c>
      <c r="C135" s="27">
        <f t="shared" ca="1" si="16"/>
        <v>143</v>
      </c>
      <c r="D135" s="27">
        <f t="shared" ca="1" si="17"/>
        <v>82</v>
      </c>
      <c r="E135" s="27">
        <f t="shared" ca="1" si="18"/>
        <v>61</v>
      </c>
      <c r="F135"/>
      <c r="J135" t="str">
        <f t="shared" ca="1" si="19"/>
        <v>insert into items values ('OID024', 'PRD005', 78, 48, 30);</v>
      </c>
    </row>
    <row r="136" spans="1:10" ht="18" customHeight="1" x14ac:dyDescent="0.25">
      <c r="A136" s="7" t="str">
        <f ca="1">r_choice(Orders!$A$2:$A$51)</f>
        <v>OID028</v>
      </c>
      <c r="B136" s="7" t="str">
        <f ca="1">r_choice(Products!$A$2:$A$13)</f>
        <v>PRD012</v>
      </c>
      <c r="C136" s="27">
        <f t="shared" ca="1" si="16"/>
        <v>103</v>
      </c>
      <c r="D136" s="27">
        <f t="shared" ca="1" si="17"/>
        <v>56</v>
      </c>
      <c r="E136" s="27">
        <f t="shared" ca="1" si="18"/>
        <v>47</v>
      </c>
      <c r="F136"/>
      <c r="J136" t="str">
        <f t="shared" ca="1" si="19"/>
        <v>insert into items values ('OID007', 'PRD002', 143, 82, 61);</v>
      </c>
    </row>
    <row r="137" spans="1:10" ht="18" customHeight="1" x14ac:dyDescent="0.25">
      <c r="A137" s="7" t="str">
        <f ca="1">r_choice(Orders!$A$2:$A$51)</f>
        <v>OID015</v>
      </c>
      <c r="B137" s="7" t="str">
        <f ca="1">r_choice(Products!$A$2:$A$13)</f>
        <v>PRD004</v>
      </c>
      <c r="C137" s="27">
        <f t="shared" ca="1" si="16"/>
        <v>131</v>
      </c>
      <c r="D137" s="27">
        <f t="shared" ca="1" si="17"/>
        <v>98</v>
      </c>
      <c r="E137" s="27">
        <f t="shared" ca="1" si="18"/>
        <v>33</v>
      </c>
      <c r="F137"/>
      <c r="J137" t="str">
        <f t="shared" ca="1" si="19"/>
        <v>insert into items values ('OID028', 'PRD012', 103, 56, 47);</v>
      </c>
    </row>
    <row r="138" spans="1:10" ht="18" customHeight="1" x14ac:dyDescent="0.25">
      <c r="A138" s="7" t="str">
        <f ca="1">r_choice(Orders!$A$2:$A$51)</f>
        <v>OID038</v>
      </c>
      <c r="B138" s="7" t="str">
        <f ca="1">r_choice(Products!$A$2:$A$13)</f>
        <v>PRD002</v>
      </c>
      <c r="C138" s="27">
        <f t="shared" ca="1" si="16"/>
        <v>158</v>
      </c>
      <c r="D138" s="27">
        <f t="shared" ca="1" si="17"/>
        <v>108</v>
      </c>
      <c r="E138" s="27">
        <f t="shared" ca="1" si="18"/>
        <v>50</v>
      </c>
      <c r="F138"/>
      <c r="J138" t="str">
        <f t="shared" ca="1" si="19"/>
        <v>insert into items values ('OID015', 'PRD004', 131, 98, 33);</v>
      </c>
    </row>
    <row r="139" spans="1:10" ht="18" customHeight="1" x14ac:dyDescent="0.25">
      <c r="A139" s="7" t="str">
        <f ca="1">r_choice(Orders!$A$2:$A$51)</f>
        <v>OID040</v>
      </c>
      <c r="B139" s="7" t="str">
        <f ca="1">r_choice(Products!$A$2:$A$13)</f>
        <v>PRD005</v>
      </c>
      <c r="C139" s="27">
        <f t="shared" ca="1" si="16"/>
        <v>93</v>
      </c>
      <c r="D139" s="27">
        <f t="shared" ca="1" si="17"/>
        <v>37</v>
      </c>
      <c r="E139" s="27">
        <f t="shared" ca="1" si="18"/>
        <v>56</v>
      </c>
      <c r="F139"/>
      <c r="J139" t="str">
        <f t="shared" ca="1" si="19"/>
        <v>insert into items values ('OID038', 'PRD002', 158, 108, 50);</v>
      </c>
    </row>
    <row r="140" spans="1:10" ht="18" customHeight="1" x14ac:dyDescent="0.25">
      <c r="A140" s="7" t="str">
        <f ca="1">r_choice(Orders!$A$2:$A$51)</f>
        <v>OID041</v>
      </c>
      <c r="B140" s="7" t="str">
        <f ca="1">r_choice(Products!$A$2:$A$13)</f>
        <v>PRD007</v>
      </c>
      <c r="C140" s="27">
        <f t="shared" ca="1" si="16"/>
        <v>148</v>
      </c>
      <c r="D140" s="27">
        <f t="shared" ca="1" si="17"/>
        <v>65</v>
      </c>
      <c r="E140" s="27">
        <f t="shared" ca="1" si="18"/>
        <v>83</v>
      </c>
      <c r="F140"/>
      <c r="J140" t="str">
        <f t="shared" ca="1" si="19"/>
        <v>insert into items values ('OID040', 'PRD005', 93, 37, 56);</v>
      </c>
    </row>
    <row r="141" spans="1:10" ht="18" customHeight="1" x14ac:dyDescent="0.25">
      <c r="A141" s="7" t="str">
        <f ca="1">r_choice(Orders!$A$2:$A$51)</f>
        <v>OID043</v>
      </c>
      <c r="B141" s="7" t="str">
        <f ca="1">r_choice(Products!$A$2:$A$13)</f>
        <v>PRD010</v>
      </c>
      <c r="C141" s="27">
        <f t="shared" ca="1" si="16"/>
        <v>78</v>
      </c>
      <c r="D141" s="27">
        <f t="shared" ca="1" si="17"/>
        <v>33</v>
      </c>
      <c r="E141" s="27">
        <f t="shared" ca="1" si="18"/>
        <v>45</v>
      </c>
      <c r="F141"/>
      <c r="J141" t="str">
        <f t="shared" ca="1" si="19"/>
        <v>insert into items values ('OID041', 'PRD007', 148, 65, 83);</v>
      </c>
    </row>
    <row r="142" spans="1:10" ht="18" customHeight="1" x14ac:dyDescent="0.25">
      <c r="A142" s="7" t="str">
        <f ca="1">r_choice(Orders!$A$2:$A$51)</f>
        <v>OID042</v>
      </c>
      <c r="B142" s="7" t="str">
        <f ca="1">r_choice(Products!$A$2:$A$13)</f>
        <v>PRD004</v>
      </c>
      <c r="C142" s="27">
        <f t="shared" ca="1" si="16"/>
        <v>107</v>
      </c>
      <c r="D142" s="27">
        <f t="shared" ca="1" si="17"/>
        <v>72</v>
      </c>
      <c r="E142" s="27">
        <f t="shared" ca="1" si="18"/>
        <v>35</v>
      </c>
      <c r="F142"/>
      <c r="J142" t="str">
        <f t="shared" ca="1" si="19"/>
        <v>insert into items values ('OID043', 'PRD010', 78, 33, 45);</v>
      </c>
    </row>
    <row r="143" spans="1:10" ht="18" customHeight="1" x14ac:dyDescent="0.25">
      <c r="A143" s="7" t="str">
        <f ca="1">r_choice(Orders!$A$2:$A$51)</f>
        <v>OID014</v>
      </c>
      <c r="B143" s="7" t="str">
        <f ca="1">r_choice(Products!$A$2:$A$13)</f>
        <v>PRD004</v>
      </c>
      <c r="C143" s="27">
        <f t="shared" ca="1" si="16"/>
        <v>66</v>
      </c>
      <c r="D143" s="27">
        <f t="shared" ca="1" si="17"/>
        <v>36</v>
      </c>
      <c r="E143" s="27">
        <f t="shared" ca="1" si="18"/>
        <v>30</v>
      </c>
      <c r="F143"/>
      <c r="J143" t="str">
        <f t="shared" ca="1" si="19"/>
        <v>insert into items values ('OID042', 'PRD004', 107, 72, 35);</v>
      </c>
    </row>
    <row r="144" spans="1:10" ht="18" customHeight="1" x14ac:dyDescent="0.25">
      <c r="A144" s="7" t="str">
        <f ca="1">r_choice(Orders!$A$2:$A$51)</f>
        <v>OID049</v>
      </c>
      <c r="B144" s="7" t="str">
        <f ca="1">r_choice(Products!$A$2:$A$13)</f>
        <v>PRD004</v>
      </c>
      <c r="C144" s="27">
        <f t="shared" ca="1" si="16"/>
        <v>150</v>
      </c>
      <c r="D144" s="27">
        <f t="shared" ca="1" si="17"/>
        <v>94</v>
      </c>
      <c r="E144" s="27">
        <f t="shared" ca="1" si="18"/>
        <v>56</v>
      </c>
      <c r="F144"/>
      <c r="J144" t="str">
        <f t="shared" ca="1" si="19"/>
        <v>insert into items values ('OID014', 'PRD004', 66, 36, 30);</v>
      </c>
    </row>
    <row r="145" spans="1:10" ht="18" customHeight="1" x14ac:dyDescent="0.25">
      <c r="A145" s="7" t="str">
        <f ca="1">r_choice(Orders!$A$2:$A$51)</f>
        <v>OID050</v>
      </c>
      <c r="B145" s="7" t="str">
        <f ca="1">r_choice(Products!$A$2:$A$13)</f>
        <v>PRD005</v>
      </c>
      <c r="C145" s="27">
        <f t="shared" ca="1" si="16"/>
        <v>154</v>
      </c>
      <c r="D145" s="27">
        <f t="shared" ca="1" si="17"/>
        <v>88</v>
      </c>
      <c r="E145" s="27">
        <f t="shared" ca="1" si="18"/>
        <v>66</v>
      </c>
      <c r="F145"/>
      <c r="J145" t="str">
        <f t="shared" ca="1" si="19"/>
        <v>insert into items values ('OID049', 'PRD004', 150, 94, 56);</v>
      </c>
    </row>
    <row r="146" spans="1:10" ht="18" customHeight="1" x14ac:dyDescent="0.25">
      <c r="A146" s="7" t="str">
        <f ca="1">r_choice(Orders!$A$2:$A$51)</f>
        <v>OID030</v>
      </c>
      <c r="B146" s="7" t="str">
        <f ca="1">r_choice(Products!$A$2:$A$13)</f>
        <v>PRD011</v>
      </c>
      <c r="C146" s="27">
        <f t="shared" ca="1" si="16"/>
        <v>76</v>
      </c>
      <c r="D146" s="27">
        <f t="shared" ca="1" si="17"/>
        <v>45</v>
      </c>
      <c r="E146" s="27">
        <f t="shared" ca="1" si="18"/>
        <v>31</v>
      </c>
      <c r="F146"/>
      <c r="J146" t="str">
        <f t="shared" ca="1" si="19"/>
        <v>insert into items values ('OID050', 'PRD005', 154, 88, 66);</v>
      </c>
    </row>
    <row r="147" spans="1:10" ht="18" customHeight="1" x14ac:dyDescent="0.25">
      <c r="A147" s="7" t="str">
        <f ca="1">r_choice(Orders!$A$2:$A$51)</f>
        <v>OID042</v>
      </c>
      <c r="B147" s="7" t="str">
        <f ca="1">r_choice(Products!$A$2:$A$13)</f>
        <v>PRD003</v>
      </c>
      <c r="C147" s="27">
        <f t="shared" ca="1" si="16"/>
        <v>52</v>
      </c>
      <c r="D147" s="27">
        <f t="shared" ca="1" si="17"/>
        <v>26</v>
      </c>
      <c r="E147" s="27">
        <f t="shared" ca="1" si="18"/>
        <v>26</v>
      </c>
      <c r="F147"/>
      <c r="J147" t="str">
        <f t="shared" ca="1" si="19"/>
        <v>insert into items values ('OID030', 'PRD011', 76, 45, 31);</v>
      </c>
    </row>
    <row r="148" spans="1:10" ht="18" customHeight="1" x14ac:dyDescent="0.25">
      <c r="A148" s="7" t="str">
        <f ca="1">r_choice(Orders!$A$2:$A$51)</f>
        <v>OID013</v>
      </c>
      <c r="B148" s="7" t="str">
        <f ca="1">r_choice(Products!$A$2:$A$13)</f>
        <v>PRD001</v>
      </c>
      <c r="C148" s="27">
        <f t="shared" ca="1" si="16"/>
        <v>188</v>
      </c>
      <c r="D148" s="27">
        <f t="shared" ca="1" si="17"/>
        <v>39</v>
      </c>
      <c r="E148" s="27">
        <f t="shared" ca="1" si="18"/>
        <v>149</v>
      </c>
      <c r="F148"/>
      <c r="J148" t="str">
        <f t="shared" ca="1" si="19"/>
        <v>insert into items values ('OID042', 'PRD003', 52, 26, 26);</v>
      </c>
    </row>
    <row r="149" spans="1:10" ht="18" customHeight="1" x14ac:dyDescent="0.25">
      <c r="A149" s="7" t="str">
        <f ca="1">r_choice(Orders!$A$2:$A$51)</f>
        <v>OID008</v>
      </c>
      <c r="B149" s="7" t="str">
        <f ca="1">r_choice(Products!$A$2:$A$13)</f>
        <v>PRD003</v>
      </c>
      <c r="C149" s="27">
        <f t="shared" ca="1" si="16"/>
        <v>52</v>
      </c>
      <c r="D149" s="27">
        <f t="shared" ca="1" si="17"/>
        <v>26</v>
      </c>
      <c r="E149" s="27">
        <f t="shared" ca="1" si="18"/>
        <v>26</v>
      </c>
      <c r="F149"/>
      <c r="J149" t="str">
        <f t="shared" ca="1" si="19"/>
        <v>insert into items values ('OID013', 'PRD001', 188, 39, 149);</v>
      </c>
    </row>
    <row r="150" spans="1:10" ht="18" customHeight="1" x14ac:dyDescent="0.25">
      <c r="A150" s="7" t="str">
        <f ca="1">r_choice(Orders!$A$2:$A$51)</f>
        <v>OID026</v>
      </c>
      <c r="B150" s="7" t="str">
        <f ca="1">r_choice(Products!$A$2:$A$13)</f>
        <v>PRD011</v>
      </c>
      <c r="C150" s="27">
        <f t="shared" ca="1" si="16"/>
        <v>121</v>
      </c>
      <c r="D150" s="27">
        <f t="shared" ca="1" si="17"/>
        <v>41</v>
      </c>
      <c r="E150" s="27">
        <f t="shared" ca="1" si="18"/>
        <v>80</v>
      </c>
      <c r="F150"/>
      <c r="J150" t="str">
        <f t="shared" ca="1" si="19"/>
        <v>insert into items values ('OID008', 'PRD003', 52, 26, 26);</v>
      </c>
    </row>
    <row r="151" spans="1:10" ht="18" customHeight="1" x14ac:dyDescent="0.25">
      <c r="A151" s="7" t="str">
        <f ca="1">r_choice(Orders!$A$2:$A$51)</f>
        <v>OID015</v>
      </c>
      <c r="B151" s="7" t="str">
        <f ca="1">r_choice(Products!$A$2:$A$13)</f>
        <v>PRD007</v>
      </c>
      <c r="C151" s="27">
        <f t="shared" ca="1" si="16"/>
        <v>110</v>
      </c>
      <c r="D151" s="27">
        <f t="shared" ca="1" si="17"/>
        <v>80</v>
      </c>
      <c r="E151" s="27">
        <f t="shared" ca="1" si="18"/>
        <v>30</v>
      </c>
      <c r="F151"/>
      <c r="J151" t="str">
        <f t="shared" ca="1" si="19"/>
        <v>insert into items values ('OID026', 'PRD011', 121, 41, 80);</v>
      </c>
    </row>
    <row r="152" spans="1:10" ht="18" customHeight="1" x14ac:dyDescent="0.25">
      <c r="F152"/>
      <c r="J152" t="str">
        <f t="shared" ca="1" si="19"/>
        <v>insert into items values ('OID015', 'PRD007', 110, 80, 30);</v>
      </c>
    </row>
    <row r="153" spans="1:10" ht="18" customHeight="1" x14ac:dyDescent="0.25">
      <c r="E153"/>
      <c r="F153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Employees</vt:lpstr>
      <vt:lpstr>Assignments</vt:lpstr>
      <vt:lpstr>Customers</vt:lpstr>
      <vt:lpstr>Products</vt:lpstr>
      <vt:lpstr>Orders</vt:lpstr>
      <vt:lpstr>Items</vt:lpstr>
      <vt:lpstr>ffn</vt:lpstr>
      <vt:lpstr>ln</vt:lpstr>
      <vt:lpstr>mfn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valaor</dc:creator>
  <cp:lastModifiedBy>stavri gkousi</cp:lastModifiedBy>
  <dcterms:created xsi:type="dcterms:W3CDTF">2013-02-25T22:34:06Z</dcterms:created>
  <dcterms:modified xsi:type="dcterms:W3CDTF">2024-03-28T10:44:23Z</dcterms:modified>
</cp:coreProperties>
</file>